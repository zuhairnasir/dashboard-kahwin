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nang &amp; Persiapan Kahwin" sheetId="1" r:id="rId4"/>
    <sheet state="visible" name="Akad Nikah" sheetId="2" r:id="rId5"/>
    <sheet state="visible" name="Sanding (Belah Perempuan)" sheetId="3" r:id="rId6"/>
    <sheet state="visible" name="Bertandang (Belah Lelaki)" sheetId="4" r:id="rId7"/>
    <sheet state="visible" name="Senarai Jemputan Majlis Lelaki" sheetId="5" r:id="rId8"/>
    <sheet state="visible" name="Senarai Jemputan Majlis Perempu" sheetId="6" r:id="rId9"/>
    <sheet state="visible" name="LAKARAN AISYAH" sheetId="7" r:id="rId10"/>
  </sheets>
  <definedNames/>
  <calcPr/>
  <extLst>
    <ext uri="GoogleSheetsCustomDataVersion2">
      <go:sheetsCustomData xmlns:go="http://customooxmlschemas.google.com/" r:id="rId11" roundtripDataChecksum="tpfH8l26+ac5nsFXixWD3Xj0Ak78rWdA1OIKgkhTV6o="/>
    </ext>
  </extLst>
</workbook>
</file>

<file path=xl/sharedStrings.xml><?xml version="1.0" encoding="utf-8"?>
<sst xmlns="http://schemas.openxmlformats.org/spreadsheetml/2006/main" count="2096" uniqueCount="932">
  <si>
    <t>Sanding (30/5/2027) Cream + Gold</t>
  </si>
  <si>
    <t>Bertandang (30/5/2027) Baby Blue</t>
  </si>
  <si>
    <t>Persiapan Tunang (5/9/2026) Soft Pink
#AisyahyangZuhair</t>
  </si>
  <si>
    <t>Persiapan Akad Nikah (27/3/2027) Cream Gold</t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</si>
  <si>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</si>
  <si>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NO.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</si>
  <si>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</si>
  <si>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DESCRIPTION</t>
    </r>
  </si>
  <si>
    <r>
      <rPr>
        <rFont val="Calibri"/>
        <b/>
        <color theme="1"/>
        <sz val="10.0"/>
      </rPr>
      <t>DESCRIPTION</t>
    </r>
  </si>
  <si>
    <r>
      <rPr>
        <rFont val="Calibri"/>
        <b/>
        <color theme="1"/>
        <sz val="10.0"/>
      </rPr>
      <t>BUDGETED</t>
    </r>
  </si>
  <si>
    <r>
      <rPr>
        <rFont val="Calibri"/>
        <b/>
        <color theme="1"/>
        <sz val="10.0"/>
      </rPr>
      <t>DESCRIPTION</t>
    </r>
  </si>
  <si>
    <r>
      <rPr>
        <rFont val="Calibri"/>
        <b/>
        <color theme="1"/>
        <sz val="10.0"/>
      </rPr>
      <t>BUDGETED</t>
    </r>
  </si>
  <si>
    <r>
      <rPr>
        <rFont val="Calibri"/>
        <b/>
        <color theme="1"/>
        <sz val="10.0"/>
      </rPr>
      <t>BUDGETED</t>
    </r>
  </si>
  <si>
    <r>
      <rPr>
        <rFont val="Calibri"/>
        <b/>
        <color theme="1"/>
        <sz val="10.0"/>
      </rPr>
      <t>ACTUAL</t>
    </r>
  </si>
  <si>
    <r>
      <rPr>
        <rFont val="Calibri"/>
        <b/>
        <color theme="1"/>
        <sz val="10.0"/>
      </rPr>
      <t>ACTUAL</t>
    </r>
  </si>
  <si>
    <r>
      <rPr>
        <rFont val="Calibri"/>
        <b/>
        <color theme="1"/>
        <sz val="10.0"/>
      </rPr>
      <t>PAID</t>
    </r>
  </si>
  <si>
    <r>
      <rPr>
        <rFont val="Calibri"/>
        <b/>
        <color theme="1"/>
        <sz val="10.0"/>
      </rPr>
      <t>PAID</t>
    </r>
  </si>
  <si>
    <r>
      <rPr>
        <rFont val="Calibri"/>
        <b/>
        <color theme="1"/>
        <sz val="10.0"/>
      </rPr>
      <t>ACTUAL</t>
    </r>
  </si>
  <si>
    <r>
      <rPr>
        <rFont val="Calibri"/>
        <b/>
        <color theme="1"/>
        <sz val="10.0"/>
      </rPr>
      <t>NOTES</t>
    </r>
  </si>
  <si>
    <r>
      <rPr>
        <rFont val="Calibri"/>
        <b/>
        <color theme="1"/>
        <sz val="10.0"/>
      </rPr>
      <t>NOTES</t>
    </r>
  </si>
  <si>
    <r>
      <rPr>
        <rFont val="Calibri"/>
        <b/>
        <color theme="1"/>
        <sz val="10.0"/>
      </rPr>
      <t>PAID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</si>
  <si>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</si>
  <si>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NOTES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</si>
  <si>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</si>
  <si>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</si>
  <si>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RM</t>
    </r>
  </si>
  <si>
    <t>kos pihak lelaki</t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</si>
  <si>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</si>
  <si>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Majlis Pernikahan</t>
    </r>
  </si>
  <si>
    <r>
      <rPr>
        <rFont val="Calibri"/>
        <b/>
        <color theme="1"/>
        <sz val="10.0"/>
      </rPr>
      <t>DESCRIPTION</t>
    </r>
  </si>
  <si>
    <r>
      <rPr>
        <rFont val="Calibri"/>
        <b/>
        <color theme="1"/>
        <sz val="10.0"/>
      </rPr>
      <t>BUDGETED</t>
    </r>
  </si>
  <si>
    <r>
      <rPr>
        <rFont val="Calibri"/>
        <b/>
        <color theme="1"/>
        <sz val="10.0"/>
      </rPr>
      <t>ACTUAL</t>
    </r>
  </si>
  <si>
    <r>
      <rPr>
        <rFont val="Calibri"/>
        <color theme="1"/>
        <sz val="10.0"/>
      </rPr>
      <t>Mas Kahwin</t>
    </r>
  </si>
  <si>
    <r>
      <rPr>
        <rFont val="Calibri"/>
        <b/>
        <color theme="1"/>
        <sz val="10.0"/>
      </rPr>
      <t>PAID</t>
    </r>
  </si>
  <si>
    <r>
      <rPr>
        <rFont val="Calibri"/>
        <b/>
        <color theme="1"/>
        <sz val="10.0"/>
      </rPr>
      <t>RM</t>
    </r>
  </si>
  <si>
    <t>1 Dinar</t>
  </si>
  <si>
    <r>
      <rPr>
        <rFont val="Calibri"/>
        <b/>
        <color theme="1"/>
        <sz val="10.0"/>
      </rPr>
      <t>NOTES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</si>
  <si>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</si>
  <si>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Pertunangan</t>
    </r>
  </si>
  <si>
    <r>
      <rPr>
        <rFont val="Calibri"/>
        <b/>
        <color theme="1"/>
        <sz val="10.0"/>
      </rPr>
      <t>Resepsi Belah Perempuan</t>
    </r>
  </si>
  <si>
    <r>
      <rPr>
        <rFont val="Calibri"/>
        <b/>
        <color theme="1"/>
        <sz val="10.0"/>
      </rPr>
      <t>RM</t>
    </r>
  </si>
  <si>
    <t>Completed</t>
  </si>
  <si>
    <r>
      <rPr>
        <rFont val="Calibri"/>
        <b/>
        <color theme="1"/>
        <sz val="10.0"/>
      </rPr>
      <t>RM</t>
    </r>
  </si>
  <si>
    <t>payment</t>
  </si>
  <si>
    <t>Cincin Tunang (Perempuan)</t>
  </si>
  <si>
    <r>
      <rPr>
        <rFont val="Calibri"/>
        <b/>
        <color theme="1"/>
        <sz val="10.0"/>
      </rPr>
      <t>Resepsi Belah Perempuan</t>
    </r>
  </si>
  <si>
    <r>
      <rPr>
        <rFont val="Calibri"/>
        <color theme="1"/>
        <sz val="10.0"/>
      </rPr>
      <t>Upah Jurunikah</t>
    </r>
  </si>
  <si>
    <r>
      <rPr>
        <rFont val="Calibri"/>
        <b/>
        <color theme="1"/>
        <sz val="10.0"/>
      </rPr>
      <t>a.</t>
    </r>
  </si>
  <si>
    <t>Not Yet</t>
  </si>
  <si>
    <r>
      <rPr>
        <rFont val="Calibri"/>
        <b/>
        <color theme="1"/>
        <sz val="10.0"/>
      </rPr>
      <t>a.</t>
    </r>
  </si>
  <si>
    <r>
      <rPr>
        <rFont val="Calibri"/>
        <b/>
        <color theme="1"/>
        <sz val="10.0"/>
      </rPr>
      <t>Persiapan</t>
    </r>
  </si>
  <si>
    <r>
      <rPr>
        <rFont val="Calibri"/>
        <b/>
        <color theme="1"/>
        <sz val="10.0"/>
      </rPr>
      <t>Persiapan</t>
    </r>
  </si>
  <si>
    <t>Upah Saksi (2 orang) 1pax - RM 20</t>
  </si>
  <si>
    <t>Dewan Nikah</t>
  </si>
  <si>
    <t>-</t>
  </si>
  <si>
    <t>rumah</t>
  </si>
  <si>
    <t>Tunang</t>
  </si>
  <si>
    <t>Juruandam (MUA)</t>
  </si>
  <si>
    <t>Kos Nikah</t>
  </si>
  <si>
    <t>Akad Nikah</t>
  </si>
  <si>
    <t>Sanding</t>
  </si>
  <si>
    <t>Bertandang</t>
  </si>
  <si>
    <t>KSL Esplande Hotel</t>
  </si>
  <si>
    <t>Cincin Tunang (Lelaki)</t>
  </si>
  <si>
    <t>Juruandam (MUA) + stylish</t>
  </si>
  <si>
    <t xml:space="preserve">Jumlah </t>
  </si>
  <si>
    <t>icah bayar 20</t>
  </si>
  <si>
    <t>gelang</t>
  </si>
  <si>
    <r>
      <rPr>
        <rFont val="Calibri"/>
        <color theme="1"/>
        <sz val="10.0"/>
      </rPr>
      <t>Bunga Tangan</t>
    </r>
  </si>
  <si>
    <t>tunang</t>
  </si>
  <si>
    <t>Set Baju Tunang (P) (Soft Pink)</t>
  </si>
  <si>
    <t>deposit 30, icah bayar 30</t>
  </si>
  <si>
    <t>include dalam pakej</t>
  </si>
  <si>
    <t>Jumlah</t>
  </si>
  <si>
    <r>
      <rPr>
        <rFont val="Calibri"/>
        <color theme="1"/>
        <sz val="10.0"/>
      </rPr>
      <t>Payung x 2</t>
    </r>
  </si>
  <si>
    <r>
      <rPr>
        <rFont val="Calibri"/>
        <color theme="1"/>
        <sz val="10.0"/>
      </rPr>
      <t>Bunga Tangan</t>
    </r>
  </si>
  <si>
    <t>Payment</t>
  </si>
  <si>
    <r>
      <rPr>
        <rFont val="Calibri"/>
        <color theme="1"/>
        <sz val="10.0"/>
      </rPr>
      <t>Hiasan Bilik Tidur</t>
    </r>
  </si>
  <si>
    <t>Tudung</t>
  </si>
  <si>
    <r>
      <rPr>
        <rFont val="Calibri"/>
        <color theme="1"/>
        <sz val="10.0"/>
      </rPr>
      <t>Payung x 2</t>
    </r>
  </si>
  <si>
    <t>baki</t>
  </si>
  <si>
    <r>
      <rPr>
        <rFont val="Calibri"/>
        <b/>
        <color theme="1"/>
        <sz val="10.0"/>
      </rPr>
      <t>a.</t>
    </r>
  </si>
  <si>
    <t>Kad Digital</t>
  </si>
  <si>
    <r>
      <rPr>
        <rFont val="Calibri"/>
        <b/>
        <color theme="1"/>
        <sz val="10.0"/>
      </rPr>
      <t>Barang Hantaran (Lelaki sediakan)</t>
    </r>
  </si>
  <si>
    <r>
      <rPr>
        <rFont val="Calibri"/>
        <color theme="1"/>
        <sz val="10.0"/>
      </rPr>
      <t>Hotel/tempat bersiap</t>
    </r>
  </si>
  <si>
    <t>jumlah</t>
  </si>
  <si>
    <t>buat sendiri</t>
  </si>
  <si>
    <t>Kad Fizikal</t>
  </si>
  <si>
    <t>Shawl Organza</t>
  </si>
  <si>
    <r>
      <rPr>
        <rFont val="Calibri"/>
        <color theme="1"/>
        <sz val="10.0"/>
      </rPr>
      <t>Gubahan Dulang X 5</t>
    </r>
  </si>
  <si>
    <t>emas 20g</t>
  </si>
  <si>
    <r>
      <rPr>
        <rFont val="Calibri"/>
        <b/>
        <color theme="1"/>
        <sz val="10.0"/>
      </rPr>
      <t>b.</t>
    </r>
  </si>
  <si>
    <t>tak masuk dlm anggaran bajet</t>
  </si>
  <si>
    <r>
      <rPr>
        <rFont val="Calibri"/>
        <b/>
        <color theme="1"/>
        <sz val="10.0"/>
      </rPr>
      <t>Busana Pengantin Lelaki</t>
    </r>
  </si>
  <si>
    <t>Crown</t>
  </si>
  <si>
    <t>Hantaran 1: Frame Ijab Qabul + Baldu Gelang Emas</t>
  </si>
  <si>
    <t>dinar 5 g</t>
  </si>
  <si>
    <t>Kasut Tunang (P)</t>
  </si>
  <si>
    <r>
      <rPr>
        <rFont val="Calibri"/>
        <color theme="1"/>
        <sz val="10.0"/>
      </rPr>
      <t>Set Sewa Baju Kahwin</t>
    </r>
  </si>
  <si>
    <t>RSVP</t>
  </si>
  <si>
    <t>dah booking 1150 termasuk bertandang belah laki</t>
  </si>
  <si>
    <t>Inai + Kuku</t>
  </si>
  <si>
    <t>Hantaran 2: Telekung</t>
  </si>
  <si>
    <r>
      <rPr>
        <rFont val="Calibri"/>
        <color theme="1"/>
        <sz val="10.0"/>
      </rPr>
      <t>Kasut &amp; stoking</t>
    </r>
  </si>
  <si>
    <t>dah ada</t>
  </si>
  <si>
    <r>
      <rPr>
        <rFont val="Calibri"/>
        <b/>
        <color theme="1"/>
        <sz val="10.0"/>
      </rPr>
      <t>b.</t>
    </r>
  </si>
  <si>
    <r>
      <rPr>
        <rFont val="Calibri"/>
        <b/>
        <color theme="1"/>
        <sz val="10.0"/>
      </rPr>
      <t>Busana Pengantin Lelaki</t>
    </r>
  </si>
  <si>
    <t>Groom Stylist</t>
  </si>
  <si>
    <t>Set Baju Tunang Lelaki (L) (Dusty Blue)</t>
  </si>
  <si>
    <t>full payment</t>
  </si>
  <si>
    <t>Hantaran 3: MockCheque Tabung Haji RM 2,000 + Baldu</t>
  </si>
  <si>
    <t>kos pihak perempuan</t>
  </si>
  <si>
    <r>
      <rPr>
        <rFont val="Calibri"/>
        <b/>
        <color theme="1"/>
        <sz val="10.0"/>
      </rPr>
      <t>c.</t>
    </r>
  </si>
  <si>
    <r>
      <rPr>
        <rFont val="Calibri"/>
        <color theme="1"/>
        <sz val="10.0"/>
      </rPr>
      <t>Set Sewa Baju Kahwin</t>
    </r>
  </si>
  <si>
    <t>Sampin</t>
  </si>
  <si>
    <r>
      <rPr>
        <rFont val="Calibri"/>
        <b/>
        <color theme="1"/>
        <sz val="10.0"/>
      </rPr>
      <t>Busana Pengantin Perempuan</t>
    </r>
  </si>
  <si>
    <r>
      <rPr>
        <rFont val="Calibri"/>
        <color theme="1"/>
        <sz val="10.0"/>
      </rPr>
      <t>Set Sewa Baju Kahwin</t>
    </r>
  </si>
  <si>
    <t>Cermin Tunang</t>
  </si>
  <si>
    <r>
      <rPr>
        <rFont val="Calibri"/>
        <color theme="1"/>
        <sz val="10.0"/>
      </rPr>
      <t>Kasut &amp; stoking</t>
    </r>
  </si>
  <si>
    <t>Hantaran 4: MockCheque ASNB Bank RM 11,000 + Baldu</t>
  </si>
  <si>
    <t>HIjab Stylist</t>
  </si>
  <si>
    <t>Hantaran 5: 5g Gold Bar + Frame</t>
  </si>
  <si>
    <t>Bride Assistant</t>
  </si>
  <si>
    <t>Sticker Tunang</t>
  </si>
  <si>
    <t>dah payment</t>
  </si>
  <si>
    <r>
      <rPr>
        <rFont val="Calibri"/>
        <b/>
        <color theme="1"/>
        <sz val="10.0"/>
      </rPr>
      <t>c.</t>
    </r>
  </si>
  <si>
    <r>
      <rPr>
        <rFont val="Calibri"/>
        <color theme="1"/>
        <sz val="10.0"/>
      </rPr>
      <t>Tudung</t>
    </r>
  </si>
  <si>
    <r>
      <rPr>
        <rFont val="Calibri"/>
        <b/>
        <color theme="1"/>
        <sz val="10.0"/>
      </rPr>
      <t>Busana Pengantin Perempuan</t>
    </r>
  </si>
  <si>
    <r>
      <rPr>
        <rFont val="Calibri"/>
        <color theme="1"/>
        <sz val="10.0"/>
      </rPr>
      <t>Bunga Tangan</t>
    </r>
  </si>
  <si>
    <t xml:space="preserve">budget </t>
  </si>
  <si>
    <r>
      <rPr>
        <rFont val="Calibri"/>
        <color theme="1"/>
        <sz val="10.0"/>
      </rPr>
      <t>Kerongsang</t>
    </r>
  </si>
  <si>
    <t>icah bayar 55</t>
  </si>
  <si>
    <t>Bouquet Bunga</t>
  </si>
  <si>
    <r>
      <rPr>
        <rFont val="Calibri"/>
        <color theme="1"/>
        <sz val="10.0"/>
      </rPr>
      <t>Set Sewa Baju Kahwin</t>
    </r>
  </si>
  <si>
    <t>deposit 100</t>
  </si>
  <si>
    <r>
      <rPr>
        <rFont val="Calibri"/>
        <color theme="1"/>
        <sz val="10.0"/>
      </rPr>
      <t>Kasut &amp; stoking</t>
    </r>
  </si>
  <si>
    <r>
      <rPr>
        <rFont val="Calibri"/>
        <b/>
        <color theme="1"/>
        <sz val="10.0"/>
      </rPr>
      <t>Barang Hantaran (Perempuan sediakan)</t>
    </r>
  </si>
  <si>
    <t>lelaki</t>
  </si>
  <si>
    <r>
      <rPr>
        <rFont val="Calibri"/>
        <color theme="1"/>
        <sz val="10.0"/>
      </rPr>
      <t>Inai &amp; Henna</t>
    </r>
  </si>
  <si>
    <t>deposit 150</t>
  </si>
  <si>
    <t>Pelamin</t>
  </si>
  <si>
    <r>
      <rPr>
        <rFont val="Calibri"/>
        <color theme="1"/>
        <sz val="10.0"/>
      </rPr>
      <t>Gubahan Dulang X 7</t>
    </r>
  </si>
  <si>
    <t>7x50</t>
  </si>
  <si>
    <r>
      <rPr>
        <rFont val="Calibri"/>
        <b/>
        <color theme="1"/>
        <sz val="10.0"/>
      </rPr>
      <t>d.</t>
    </r>
  </si>
  <si>
    <t>Hijab Stylist</t>
  </si>
  <si>
    <r>
      <rPr>
        <rFont val="Calibri"/>
        <b/>
        <color theme="1"/>
        <sz val="10.0"/>
      </rPr>
      <t>Lokasi</t>
    </r>
  </si>
  <si>
    <t>Hantaran 1: Cincin</t>
  </si>
  <si>
    <r>
      <rPr>
        <rFont val="Calibri"/>
        <color theme="1"/>
        <sz val="10.0"/>
      </rPr>
      <t>Jamuan makan</t>
    </r>
  </si>
  <si>
    <t>perempuan</t>
  </si>
  <si>
    <t>budget</t>
  </si>
  <si>
    <t>Hantaran 2: Coklat (Kinder Bueno, Locker, Beryls)</t>
  </si>
  <si>
    <t>jumlah ke majilis</t>
  </si>
  <si>
    <t>kurang</t>
  </si>
  <si>
    <t>40+40</t>
  </si>
  <si>
    <r>
      <rPr>
        <rFont val="Calibri"/>
        <color theme="1"/>
        <sz val="10.0"/>
      </rPr>
      <t>Banner/banting/signage</t>
    </r>
  </si>
  <si>
    <r>
      <rPr>
        <rFont val="Calibri"/>
        <color theme="1"/>
        <sz val="10.0"/>
      </rPr>
      <t>Perjalanan pergi dan balik rombongan</t>
    </r>
  </si>
  <si>
    <t>Hantaran 3: Buah - buahan</t>
  </si>
  <si>
    <t>40+30</t>
  </si>
  <si>
    <t>lepas tolak duit 13k</t>
  </si>
  <si>
    <t>jumlah simpanan lelaki sebulan</t>
  </si>
  <si>
    <t>Hantaran 4: Buku Alfu Sanatin 3</t>
  </si>
  <si>
    <t>Hantaran 5: Baju Kemeja</t>
  </si>
  <si>
    <t>40+50</t>
  </si>
  <si>
    <t>Jurufoto</t>
  </si>
  <si>
    <t>Hantaran 6: Al-Quran</t>
  </si>
  <si>
    <r>
      <rPr>
        <rFont val="Calibri"/>
        <color theme="1"/>
        <sz val="10.0"/>
      </rPr>
      <t>Tudung</t>
    </r>
  </si>
  <si>
    <t>tak termasuk harga dewan +vendor majlis</t>
  </si>
  <si>
    <t>booking 200, icah bayar 100</t>
  </si>
  <si>
    <r>
      <rPr>
        <rFont val="Calibri"/>
        <color theme="1"/>
        <sz val="10.0"/>
      </rPr>
      <t>Kerongsang</t>
    </r>
  </si>
  <si>
    <t xml:space="preserve">Hantaran 7: Minyak Wangi </t>
  </si>
  <si>
    <t>Tapak dulang hantaran P</t>
  </si>
  <si>
    <r>
      <rPr>
        <rFont val="Calibri"/>
        <color theme="1"/>
        <sz val="10.0"/>
      </rPr>
      <t>Kasut &amp; stoking</t>
    </r>
  </si>
  <si>
    <r>
      <rPr>
        <rFont val="Calibri"/>
        <color theme="1"/>
        <sz val="10.0"/>
      </rPr>
      <t>Kanopi, skirting &amp; scallop</t>
    </r>
  </si>
  <si>
    <r>
      <rPr>
        <rFont val="Calibri"/>
        <color theme="1"/>
        <sz val="10.0"/>
      </rPr>
      <t>Inai &amp; Henna</t>
    </r>
  </si>
  <si>
    <t>lepas dis 20k</t>
  </si>
  <si>
    <t>actual</t>
  </si>
  <si>
    <r>
      <rPr>
        <rFont val="Calibri"/>
        <b/>
        <color theme="1"/>
        <sz val="10.0"/>
      </rPr>
      <t>d.</t>
    </r>
  </si>
  <si>
    <r>
      <rPr>
        <rFont val="Calibri"/>
        <b/>
        <color theme="1"/>
        <sz val="10.0"/>
      </rPr>
      <t>b.</t>
    </r>
  </si>
  <si>
    <r>
      <rPr>
        <rFont val="Calibri"/>
        <b/>
        <color theme="1"/>
        <sz val="10.0"/>
      </rPr>
      <t>Lokasi</t>
    </r>
  </si>
  <si>
    <r>
      <rPr>
        <rFont val="Calibri"/>
        <b/>
        <color theme="1"/>
        <sz val="10.0"/>
      </rPr>
      <t>Persiapan</t>
    </r>
  </si>
  <si>
    <t>Cermin</t>
  </si>
  <si>
    <t>jumlah simpanan perempuan sebulan</t>
  </si>
  <si>
    <r>
      <rPr>
        <rFont val="Calibri"/>
        <color theme="1"/>
        <sz val="10.0"/>
      </rPr>
      <t>Banner/banting/signage</t>
    </r>
  </si>
  <si>
    <t>Sticker cermin</t>
  </si>
  <si>
    <r>
      <rPr>
        <rFont val="Calibri"/>
        <color theme="1"/>
        <sz val="10.0"/>
      </rPr>
      <t>Pelamin Nikah</t>
    </r>
  </si>
  <si>
    <r>
      <rPr>
        <rFont val="Calibri"/>
        <color theme="1"/>
        <sz val="10.0"/>
      </rPr>
      <t>Inai &amp; Henna</t>
    </r>
  </si>
  <si>
    <t>Kanopi, skirting &amp; scallop - 1 Kemah - 400</t>
  </si>
  <si>
    <r>
      <rPr>
        <rFont val="Calibri"/>
        <color theme="1"/>
        <sz val="10.0"/>
      </rPr>
      <t>Bunga Tangan</t>
    </r>
  </si>
  <si>
    <t>Sewaan Dewan (800pax)</t>
  </si>
  <si>
    <r>
      <rPr>
        <rFont val="Calibri"/>
        <b/>
        <color theme="1"/>
        <sz val="10.0"/>
      </rPr>
      <t>a.</t>
    </r>
  </si>
  <si>
    <r>
      <rPr>
        <rFont val="Calibri"/>
        <b/>
        <color theme="1"/>
        <sz val="10.0"/>
      </rPr>
      <t>c.</t>
    </r>
  </si>
  <si>
    <r>
      <rPr>
        <rFont val="Calibri"/>
        <b/>
        <color theme="1"/>
        <sz val="10.0"/>
      </rPr>
      <t>Barang Hantaran (Lelaki sediakan)</t>
    </r>
  </si>
  <si>
    <r>
      <rPr>
        <rFont val="Calibri"/>
        <b/>
        <color theme="1"/>
        <sz val="10.0"/>
      </rPr>
      <t>Busana Pengantin Lelaki</t>
    </r>
  </si>
  <si>
    <t>Baju Melayu Nikah</t>
  </si>
  <si>
    <r>
      <rPr>
        <rFont val="Calibri"/>
        <color theme="1"/>
        <sz val="10.0"/>
      </rPr>
      <t>Hiasan Dewan, Walkway</t>
    </r>
  </si>
  <si>
    <t>Hantaran 1: Sirih Junjung Cincin Tunang</t>
  </si>
  <si>
    <t>deposit 50</t>
  </si>
  <si>
    <r>
      <rPr>
        <rFont val="Calibri"/>
        <color theme="1"/>
        <sz val="10.0"/>
      </rPr>
      <t>Sewaan Dewan</t>
    </r>
  </si>
  <si>
    <r>
      <rPr>
        <rFont val="Calibri"/>
        <color theme="1"/>
        <sz val="10.0"/>
      </rPr>
      <t>Butang baju melayu</t>
    </r>
  </si>
  <si>
    <r>
      <rPr>
        <rFont val="Calibri"/>
        <color theme="1"/>
        <sz val="10.0"/>
      </rPr>
      <t>Pintu Gerbang</t>
    </r>
  </si>
  <si>
    <r>
      <rPr>
        <rFont val="Calibri"/>
        <color theme="1"/>
        <sz val="10.0"/>
      </rPr>
      <t>Hiasan Dewan, Walkway</t>
    </r>
  </si>
  <si>
    <t>Grooming Stylist</t>
  </si>
  <si>
    <t>Hantaran 2: Kek Coklat (Ibu)</t>
  </si>
  <si>
    <r>
      <rPr>
        <rFont val="Calibri"/>
        <color theme="1"/>
        <sz val="10.0"/>
      </rPr>
      <t>Singlet putih</t>
    </r>
  </si>
  <si>
    <r>
      <rPr>
        <rFont val="Calibri"/>
        <color theme="1"/>
        <sz val="10.0"/>
      </rPr>
      <t>Samping</t>
    </r>
  </si>
  <si>
    <r>
      <rPr>
        <rFont val="Calibri"/>
        <color theme="1"/>
        <sz val="10.0"/>
      </rPr>
      <t>Pelamin</t>
    </r>
  </si>
  <si>
    <t>Hantaran 3: Buah-buahan (Anggur, Naga, Pisang, Mangga)</t>
  </si>
  <si>
    <r>
      <rPr>
        <rFont val="Calibri"/>
        <color theme="1"/>
        <sz val="10.0"/>
      </rPr>
      <t>Songkok &amp; Kerongsang</t>
    </r>
  </si>
  <si>
    <r>
      <rPr>
        <rFont val="Calibri"/>
        <color theme="1"/>
        <sz val="10.0"/>
      </rPr>
      <t>Pintu Gerbang</t>
    </r>
  </si>
  <si>
    <t>dari Groom Stylist</t>
  </si>
  <si>
    <r>
      <rPr>
        <rFont val="Calibri"/>
        <color theme="1"/>
        <sz val="10.0"/>
      </rPr>
      <t>Bunga Pahar</t>
    </r>
  </si>
  <si>
    <r>
      <rPr>
        <rFont val="Calibri"/>
        <color theme="1"/>
        <sz val="10.0"/>
      </rPr>
      <t>Kasut &amp; stokin</t>
    </r>
  </si>
  <si>
    <r>
      <rPr>
        <rFont val="Calibri"/>
        <color theme="1"/>
        <sz val="10.0"/>
      </rPr>
      <t>Pelamin</t>
    </r>
  </si>
  <si>
    <r>
      <rPr>
        <rFont val="Calibri"/>
        <b/>
        <color theme="1"/>
        <sz val="10.0"/>
      </rPr>
      <t>d.</t>
    </r>
  </si>
  <si>
    <r>
      <rPr>
        <rFont val="Calibri"/>
        <b/>
        <color theme="1"/>
        <sz val="10.0"/>
      </rPr>
      <t>Busana Pengantin Perempuan</t>
    </r>
  </si>
  <si>
    <r>
      <rPr>
        <rFont val="Calibri"/>
        <color theme="1"/>
        <sz val="10.0"/>
      </rPr>
      <t>Bunga Pahar</t>
    </r>
  </si>
  <si>
    <r>
      <rPr>
        <rFont val="Calibri"/>
        <color theme="1"/>
        <sz val="10.0"/>
      </rPr>
      <t>Baju Kurung/ Nikah</t>
    </r>
  </si>
  <si>
    <t>deposit 50, icah bayar 100</t>
  </si>
  <si>
    <r>
      <rPr>
        <rFont val="Calibri"/>
        <color theme="1"/>
        <sz val="10.0"/>
      </rPr>
      <t>Kerusi &amp; Meja</t>
    </r>
  </si>
  <si>
    <r>
      <rPr>
        <rFont val="Calibri"/>
        <color theme="1"/>
        <sz val="10.0"/>
      </rPr>
      <t>Tudung &amp; anak tudung</t>
    </r>
  </si>
  <si>
    <r>
      <rPr>
        <rFont val="Calibri"/>
        <color theme="1"/>
        <sz val="10.0"/>
      </rPr>
      <t>Crown &amp; Veil</t>
    </r>
  </si>
  <si>
    <r>
      <rPr>
        <rFont val="Calibri"/>
        <color theme="1"/>
        <sz val="10.0"/>
      </rPr>
      <t>Meja Kek &amp; Meja Hadiah</t>
    </r>
  </si>
  <si>
    <r>
      <rPr>
        <rFont val="Calibri"/>
        <color theme="1"/>
        <sz val="10.0"/>
      </rPr>
      <t>Kerusi &amp; Meja</t>
    </r>
  </si>
  <si>
    <r>
      <rPr>
        <rFont val="Calibri"/>
        <color theme="1"/>
        <sz val="10.0"/>
      </rPr>
      <t>Kerongsang &amp; safety pin</t>
    </r>
  </si>
  <si>
    <r>
      <rPr>
        <rFont val="Calibri"/>
        <color theme="1"/>
        <sz val="10.0"/>
      </rPr>
      <t>Guestbook &amp; Pen</t>
    </r>
  </si>
  <si>
    <r>
      <rPr>
        <rFont val="Calibri"/>
        <color theme="1"/>
        <sz val="10.0"/>
      </rPr>
      <t>Kasut &amp; stokin</t>
    </r>
  </si>
  <si>
    <r>
      <rPr>
        <rFont val="Calibri"/>
        <color theme="1"/>
        <sz val="10.0"/>
      </rPr>
      <t>Audio System / DJ</t>
    </r>
  </si>
  <si>
    <r>
      <rPr>
        <rFont val="Calibri"/>
        <b/>
        <color theme="1"/>
        <sz val="10.0"/>
      </rPr>
      <t>b.</t>
    </r>
  </si>
  <si>
    <r>
      <rPr>
        <rFont val="Calibri"/>
        <color theme="1"/>
        <sz val="10.0"/>
      </rPr>
      <t>Meja Kek &amp; Meja Hadiah</t>
    </r>
  </si>
  <si>
    <r>
      <rPr>
        <rFont val="Calibri"/>
        <b/>
        <color theme="1"/>
        <sz val="10.0"/>
      </rPr>
      <t>Barang Hantaran (Perempuan sediakan)</t>
    </r>
  </si>
  <si>
    <r>
      <rPr>
        <rFont val="Calibri"/>
        <color theme="1"/>
        <sz val="10.0"/>
      </rPr>
      <t>Kompang/ berzanji/marhaban</t>
    </r>
  </si>
  <si>
    <t>tidak termasuk hantaran</t>
  </si>
  <si>
    <r>
      <rPr>
        <rFont val="Calibri"/>
        <color theme="1"/>
        <sz val="10.0"/>
      </rPr>
      <t>Doorgift VIP</t>
    </r>
  </si>
  <si>
    <r>
      <rPr>
        <rFont val="Calibri"/>
        <color theme="1"/>
        <sz val="10.0"/>
      </rPr>
      <t>Guestbook &amp; Pen</t>
    </r>
  </si>
  <si>
    <r>
      <rPr>
        <rFont val="Calibri"/>
        <b/>
        <color theme="1"/>
        <sz val="10.0"/>
      </rPr>
      <t>e.</t>
    </r>
  </si>
  <si>
    <t>Doorgift Tetamu (800 pax)</t>
  </si>
  <si>
    <r>
      <rPr>
        <rFont val="Calibri"/>
        <b/>
        <color theme="1"/>
        <sz val="10.0"/>
      </rPr>
      <t>Kenduri</t>
    </r>
  </si>
  <si>
    <t>Doorgift Kawan</t>
  </si>
  <si>
    <r>
      <rPr>
        <rFont val="Calibri"/>
        <b/>
        <color theme="1"/>
        <sz val="10.0"/>
      </rPr>
      <t>e.</t>
    </r>
  </si>
  <si>
    <r>
      <rPr>
        <rFont val="Calibri"/>
        <b/>
        <color theme="1"/>
        <sz val="10.0"/>
      </rPr>
      <t>Makanan</t>
    </r>
  </si>
  <si>
    <r>
      <rPr>
        <rFont val="Calibri"/>
        <color theme="1"/>
        <sz val="10.0"/>
      </rPr>
      <t>Audio System / DJ</t>
    </r>
  </si>
  <si>
    <r>
      <rPr>
        <rFont val="Calibri"/>
        <color theme="1"/>
        <sz val="10.0"/>
      </rPr>
      <t>Kanopi &amp; hiasan</t>
    </r>
  </si>
  <si>
    <t>Hantaran 1: Sirih Junjung Cincin Tunang Frame</t>
  </si>
  <si>
    <r>
      <rPr>
        <rFont val="Calibri"/>
        <color theme="1"/>
        <sz val="10.0"/>
      </rPr>
      <t>Set Meja Pengantin</t>
    </r>
  </si>
  <si>
    <r>
      <rPr>
        <rFont val="Calibri"/>
        <color theme="1"/>
        <sz val="10.0"/>
      </rPr>
      <t>Kerusi &amp; Meja</t>
    </r>
  </si>
  <si>
    <r>
      <rPr>
        <rFont val="Calibri"/>
        <color theme="1"/>
        <sz val="10.0"/>
      </rPr>
      <t>Kompang/ berzanji/marhaban</t>
    </r>
  </si>
  <si>
    <r>
      <rPr>
        <rFont val="Calibri"/>
        <color theme="1"/>
        <sz val="10.0"/>
      </rPr>
      <t>Jamuan Makan</t>
    </r>
  </si>
  <si>
    <t>Hantaran 2: Buah (Naga, Pisang, Mangga, Anggur)</t>
  </si>
  <si>
    <t>Doorgift Tetamu (Cookies , Air Mineral)</t>
  </si>
  <si>
    <t>Jurufoto (Kamera + Video)</t>
  </si>
  <si>
    <r>
      <rPr>
        <rFont val="Calibri"/>
        <color theme="1"/>
        <sz val="10.0"/>
      </rPr>
      <t>Katering : Lauk Pengantin</t>
    </r>
  </si>
  <si>
    <t>Doorgift VVIP (Beryls, Spritzer Small, Mr Potato, Muffin Cake)</t>
  </si>
  <si>
    <t>nota icah</t>
  </si>
  <si>
    <t>Hantaran 3: Coklat (Kinder Bueno, Locker, Beryls)</t>
  </si>
  <si>
    <r>
      <rPr>
        <rFont val="Calibri"/>
        <color theme="1"/>
        <sz val="10.0"/>
      </rPr>
      <t>Katering : Lauk Tetamu</t>
    </r>
  </si>
  <si>
    <t>Doorgift (Fika, Mentos)</t>
  </si>
  <si>
    <t>cincin tunang laki - 20✅️</t>
  </si>
  <si>
    <t>Vendor 1</t>
  </si>
  <si>
    <r>
      <rPr>
        <rFont val="Calibri"/>
        <b/>
        <color theme="1"/>
        <sz val="10.0"/>
      </rPr>
      <t>f.</t>
    </r>
  </si>
  <si>
    <t>Hantaran 4: Minyak Rambut (Spray)</t>
  </si>
  <si>
    <r>
      <rPr>
        <rFont val="Calibri"/>
        <b/>
        <color theme="1"/>
        <sz val="10.0"/>
      </rPr>
      <t>Tambahan</t>
    </r>
  </si>
  <si>
    <t xml:space="preserve">Bag + Sticker </t>
  </si>
  <si>
    <t>Vendor 2</t>
  </si>
  <si>
    <t>booking baju - 130 nikah✅️</t>
  </si>
  <si>
    <t>Vendor 3</t>
  </si>
  <si>
    <r>
      <rPr>
        <rFont val="Calibri"/>
        <b/>
        <color theme="1"/>
        <sz val="10.0"/>
      </rPr>
      <t>e.</t>
    </r>
  </si>
  <si>
    <t>Hantaran 5: Manisan (Kek)</t>
  </si>
  <si>
    <r>
      <rPr>
        <rFont val="Calibri"/>
        <color theme="1"/>
        <sz val="10.0"/>
      </rPr>
      <t>Perjalanan pergi dan balik rombongan</t>
    </r>
  </si>
  <si>
    <r>
      <rPr>
        <rFont val="Calibri"/>
        <b/>
        <color theme="1"/>
        <sz val="10.0"/>
      </rPr>
      <t>Makanan</t>
    </r>
  </si>
  <si>
    <t>Bunga tangan - 55✅️</t>
  </si>
  <si>
    <r>
      <rPr>
        <rFont val="Calibri"/>
        <color theme="1"/>
        <sz val="10.0"/>
      </rPr>
      <t>Set Meja Pengantin</t>
    </r>
  </si>
  <si>
    <t>Vendor 4</t>
  </si>
  <si>
    <r>
      <rPr>
        <rFont val="Calibri"/>
        <color theme="1"/>
        <sz val="10.0"/>
      </rPr>
      <t>Tempat tinggal rombongan</t>
    </r>
  </si>
  <si>
    <t>Kek Kahwin (Pavlova)</t>
  </si>
  <si>
    <t>Photographer tunang booking - 100 sorang✅️</t>
  </si>
  <si>
    <r>
      <rPr>
        <rFont val="Calibri"/>
        <color theme="1"/>
        <sz val="10.0"/>
      </rPr>
      <t>Candy Buffet</t>
    </r>
  </si>
  <si>
    <r>
      <rPr>
        <rFont val="Calibri"/>
        <b/>
        <color theme="1"/>
        <sz val="10.0"/>
      </rPr>
      <t>JUMLAH</t>
    </r>
  </si>
  <si>
    <r>
      <rPr>
        <rFont val="Calibri"/>
        <b/>
        <color theme="1"/>
        <sz val="10.0"/>
      </rPr>
      <t>f.</t>
    </r>
  </si>
  <si>
    <r>
      <rPr>
        <rFont val="Calibri"/>
        <b/>
        <color theme="1"/>
        <sz val="10.0"/>
      </rPr>
      <t>Photography</t>
    </r>
  </si>
  <si>
    <r>
      <rPr>
        <rFont val="Calibri"/>
        <b/>
        <color theme="1"/>
        <sz val="10.0"/>
      </rPr>
      <t>JUMLAH</t>
    </r>
  </si>
  <si>
    <r>
      <rPr>
        <rFont val="Calibri"/>
        <color theme="1"/>
        <sz val="10.0"/>
      </rPr>
      <t>Katering : Lauk Pengantin</t>
    </r>
  </si>
  <si>
    <t>Wedding Content Creator</t>
  </si>
  <si>
    <t>jumlah perempuan bersih</t>
  </si>
  <si>
    <r>
      <rPr>
        <rFont val="Calibri"/>
        <color theme="1"/>
        <sz val="10.0"/>
      </rPr>
      <t>Katering : Lauk Tetamu</t>
    </r>
  </si>
  <si>
    <r>
      <rPr>
        <rFont val="Calibri"/>
        <color theme="1"/>
        <sz val="10.0"/>
      </rPr>
      <t>Photobooth</t>
    </r>
  </si>
  <si>
    <t>Vendor 1: Cendol</t>
  </si>
  <si>
    <r>
      <rPr>
        <rFont val="Calibri"/>
        <b/>
        <color theme="1"/>
        <sz val="10.0"/>
      </rPr>
      <t>g.</t>
    </r>
  </si>
  <si>
    <t>Vendor 2: Aiskrim (Sejuk Dingin) 500 pax</t>
  </si>
  <si>
    <r>
      <rPr>
        <rFont val="Calibri"/>
        <b/>
        <color theme="1"/>
        <sz val="10.0"/>
      </rPr>
      <t>Tambahan</t>
    </r>
  </si>
  <si>
    <t xml:space="preserve"> </t>
  </si>
  <si>
    <t>Baju kawen - 1150  sorang (time fitting)</t>
  </si>
  <si>
    <t>Vendor 3: Laksa</t>
  </si>
  <si>
    <r>
      <rPr>
        <rFont val="Calibri"/>
        <b/>
        <color theme="1"/>
        <sz val="10.0"/>
      </rPr>
      <t>NO.</t>
    </r>
  </si>
  <si>
    <r>
      <rPr>
        <rFont val="Calibri"/>
        <color theme="1"/>
        <sz val="10.0"/>
      </rPr>
      <t>Baju Tema Keluarga</t>
    </r>
  </si>
  <si>
    <t>Sage Green (L)</t>
  </si>
  <si>
    <t>KIV</t>
  </si>
  <si>
    <r>
      <rPr>
        <rFont val="Calibri"/>
        <b/>
        <color theme="1"/>
        <sz val="10.0"/>
      </rPr>
      <t>DESCRIPTION</t>
    </r>
  </si>
  <si>
    <t>Vendor 4: Apam Balik</t>
  </si>
  <si>
    <r>
      <rPr>
        <rFont val="Calibri"/>
        <b/>
        <color theme="1"/>
        <sz val="10.0"/>
      </rPr>
      <t>BUDGETED</t>
    </r>
  </si>
  <si>
    <r>
      <rPr>
        <rFont val="Calibri"/>
        <color theme="1"/>
        <sz val="10.0"/>
      </rPr>
      <t>Baju Pengapit Lelaki &amp; Perempuan</t>
    </r>
  </si>
  <si>
    <r>
      <rPr>
        <rFont val="Calibri"/>
        <color theme="1"/>
        <sz val="10.0"/>
      </rPr>
      <t>Kek Kahwin</t>
    </r>
  </si>
  <si>
    <r>
      <rPr>
        <rFont val="Calibri"/>
        <b/>
        <color theme="1"/>
        <sz val="10.0"/>
      </rPr>
      <t>ACTUAL</t>
    </r>
  </si>
  <si>
    <r>
      <rPr>
        <rFont val="Calibri"/>
        <b/>
        <color theme="1"/>
        <sz val="10.0"/>
      </rPr>
      <t>PAID</t>
    </r>
  </si>
  <si>
    <r>
      <rPr>
        <rFont val="Calibri"/>
        <color theme="1"/>
        <sz val="10.0"/>
      </rPr>
      <t>Baju Bridesmaid &amp; Groomsman</t>
    </r>
  </si>
  <si>
    <t>Champagne (L)</t>
  </si>
  <si>
    <r>
      <rPr>
        <rFont val="Calibri"/>
        <b/>
        <color theme="1"/>
        <sz val="10.0"/>
      </rPr>
      <t>NOTES</t>
    </r>
  </si>
  <si>
    <r>
      <rPr>
        <rFont val="Calibri"/>
        <color theme="1"/>
        <sz val="10.0"/>
      </rPr>
      <t>Candy Buffet</t>
    </r>
  </si>
  <si>
    <r>
      <rPr>
        <rFont val="Calibri"/>
        <b/>
        <color theme="1"/>
        <sz val="10.0"/>
      </rPr>
      <t>RM</t>
    </r>
  </si>
  <si>
    <r>
      <rPr>
        <rFont val="Calibri"/>
        <color rgb="FF000000"/>
        <sz val="10.0"/>
      </rPr>
      <t xml:space="preserve">Makanan untuk ahli keluarga yang hadir
</t>
    </r>
    <r>
      <rPr>
        <rFont val="Calibri"/>
        <color rgb="FF000000"/>
        <sz val="10.0"/>
      </rPr>
      <t>awal (sebelum dan selepas majlis)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</si>
  <si>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</si>
  <si>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f.</t>
    </r>
  </si>
  <si>
    <r>
      <rPr>
        <rFont val="Calibri"/>
        <b/>
        <color theme="1"/>
        <sz val="10.0"/>
      </rPr>
      <t>Photography</t>
    </r>
  </si>
  <si>
    <r>
      <rPr>
        <rFont val="Calibri"/>
        <b/>
        <color theme="1"/>
        <sz val="10.0"/>
      </rPr>
      <t>Sebelum Nikah</t>
    </r>
  </si>
  <si>
    <t>Penginapan kawan kawan lelaki &amp; perempuan</t>
  </si>
  <si>
    <t>Wedding Photographer (Tunang, Nikah+Sanding, Bertandang)</t>
  </si>
  <si>
    <t>Gambar Passport (L) (2 Keping)</t>
  </si>
  <si>
    <r>
      <rPr>
        <rFont val="Calibri"/>
        <color theme="1"/>
        <sz val="10.0"/>
      </rPr>
      <t>Penginapan keluarga belah lelaki</t>
    </r>
  </si>
  <si>
    <r>
      <rPr>
        <rFont val="Calibri"/>
        <color theme="1"/>
        <sz val="10.0"/>
      </rPr>
      <t>Kos Perjalanan keluarga belah lelaki</t>
    </r>
  </si>
  <si>
    <t>Gambar Passport (P) (2 Keping)</t>
  </si>
  <si>
    <t>Photostat I/C (L) (2 Keping)</t>
  </si>
  <si>
    <r>
      <rPr>
        <rFont val="Calibri"/>
        <b/>
        <color theme="1"/>
        <sz val="10.0"/>
      </rPr>
      <t>JUMLAH</t>
    </r>
  </si>
  <si>
    <t>20 sen</t>
  </si>
  <si>
    <r>
      <rPr>
        <rFont val="Calibri"/>
        <b/>
        <color theme="1"/>
        <sz val="10.0"/>
      </rPr>
      <t>g.</t>
    </r>
  </si>
  <si>
    <t>Photostat I/C (P) (2 Keping)</t>
  </si>
  <si>
    <r>
      <rPr>
        <rFont val="Calibri"/>
        <b/>
        <color theme="1"/>
        <sz val="10.0"/>
      </rPr>
      <t>Tambahan</t>
    </r>
  </si>
  <si>
    <t>Sijil Kursus Perkahwinan (L) (2 Keping)</t>
  </si>
  <si>
    <r>
      <rPr>
        <rFont val="Calibri"/>
        <color theme="1"/>
        <sz val="10.0"/>
      </rPr>
      <t>Baju Tema Keluarga</t>
    </r>
  </si>
  <si>
    <t>pengantin lelaki tidur homestay</t>
  </si>
  <si>
    <r>
      <rPr>
        <rFont val="Calibri"/>
        <color theme="1"/>
        <sz val="10.0"/>
      </rPr>
      <t>Baju Pengapit Lelaki &amp; Perempuan</t>
    </r>
  </si>
  <si>
    <t>Sijil Kursus Perkahwinan (P) (2 Keping)</t>
  </si>
  <si>
    <r>
      <rPr>
        <rFont val="Calibri"/>
        <color theme="1"/>
        <sz val="10.0"/>
      </rPr>
      <t>Baju Bridesmaid &amp; Groomsman</t>
    </r>
  </si>
  <si>
    <t>Ujian HIV (L) (2 Keping)</t>
  </si>
  <si>
    <r>
      <rPr>
        <rFont val="Calibri"/>
        <color rgb="FF000000"/>
        <sz val="10.0"/>
      </rPr>
      <t xml:space="preserve">Makanan untuk ahli keluarga yang hadir
</t>
    </r>
    <r>
      <rPr>
        <rFont val="Calibri"/>
        <color rgb="FF000000"/>
        <sz val="10.0"/>
      </rPr>
      <t>awal (sebelum dan selepas majlis)</t>
    </r>
  </si>
  <si>
    <t>Book 6 bln sebelum tarikh nikah (Ada Expired Date)</t>
  </si>
  <si>
    <r>
      <rPr>
        <rFont val="Calibri"/>
        <color theme="1"/>
        <sz val="10.0"/>
      </rPr>
      <t>Penginapan saudara mara</t>
    </r>
  </si>
  <si>
    <t>Ujian HIV (P) (2 Keping)</t>
  </si>
  <si>
    <r>
      <rPr>
        <rFont val="Calibri"/>
        <color theme="1"/>
        <sz val="10.0"/>
      </rPr>
      <t>Penginapan keluarga belah lelaki</t>
    </r>
  </si>
  <si>
    <t>Kos Kebenaran Berkahwin</t>
  </si>
  <si>
    <r>
      <rPr>
        <rFont val="Calibri"/>
        <color theme="1"/>
        <sz val="10.0"/>
      </rPr>
      <t>Kos Perjalanan keluarga belah lelaki</t>
    </r>
  </si>
  <si>
    <r>
      <rPr>
        <rFont val="Calibri"/>
        <b/>
        <color theme="1"/>
        <sz val="10.0"/>
      </rPr>
      <t>JUMLAH</t>
    </r>
  </si>
  <si>
    <r>
      <rPr>
        <rFont val="Calibri"/>
        <color theme="1"/>
        <sz val="10.0"/>
      </rPr>
      <t>Kos Pendaftaran Nikah</t>
    </r>
  </si>
  <si>
    <t>Kos Surat Perakuan Nikah</t>
  </si>
  <si>
    <t>Kad Pintar Perakuan Nikah</t>
  </si>
  <si>
    <r>
      <rPr>
        <rFont val="Calibri"/>
        <color theme="1"/>
        <sz val="10.0"/>
      </rPr>
      <t>Wang Hantaran</t>
    </r>
  </si>
  <si>
    <r>
      <rPr>
        <rFont val="Calibri"/>
        <color theme="1"/>
        <sz val="10.0"/>
      </rPr>
      <t>Kad Jemputan X 2 kenduri</t>
    </r>
  </si>
  <si>
    <t>Gelang Kahwin</t>
  </si>
  <si>
    <t>Photostat I/C Wali (2 Keping)</t>
  </si>
  <si>
    <t>Photostat I/C Saksi 1 (2 Keping)</t>
  </si>
  <si>
    <t>Photostat I/C Saksi 2 (2 Keping)</t>
  </si>
  <si>
    <t>Print Borang Nikah Online yang telah diisi</t>
  </si>
  <si>
    <r>
      <rPr>
        <rFont val="Calibri"/>
        <b/>
        <color theme="1"/>
        <sz val="10.0"/>
      </rPr>
      <t>JUMLAH</t>
    </r>
  </si>
  <si>
    <t>Proses 6 bulan sebelum Majlis</t>
  </si>
  <si>
    <t>1. Attend Kursus Kahwin</t>
  </si>
  <si>
    <t>2. Book HIV Test 6 bulan sebelum</t>
  </si>
  <si>
    <t>3. Daftar Online SSPIM</t>
  </si>
  <si>
    <t>4. Proceed HIV Test</t>
  </si>
  <si>
    <t>5. Cop &amp; Sign oleh Penghulu/ Suruhanjaya Sumpah</t>
  </si>
  <si>
    <t>Borang Kebenaran Kahwin 3 Bulan</t>
  </si>
  <si>
    <t>6. Pihak Lelaki hantar borang di Pejabat Kadi Kariah</t>
  </si>
  <si>
    <t>7. Selesai Approval, pass borang kepada pihak wanita</t>
  </si>
  <si>
    <t>8. Hantar Kedua dua Borang di Pejabat Kadi Kariah Wanita</t>
  </si>
  <si>
    <t>9. Minta Imam PIC untuk dinikahkan</t>
  </si>
  <si>
    <t>10. Inform imam tempat nikah, tarikh dan masa nikah.</t>
  </si>
  <si>
    <t>Senarai Jemputan Kahwin Majlis Lelaki</t>
  </si>
  <si>
    <t>Bil</t>
  </si>
  <si>
    <t xml:space="preserve">Nama </t>
  </si>
  <si>
    <t>Pax</t>
  </si>
  <si>
    <t>Kontak</t>
  </si>
  <si>
    <t>Kad Jemputan</t>
  </si>
  <si>
    <t>Prof Yamin</t>
  </si>
  <si>
    <t>JANA</t>
  </si>
  <si>
    <t>Belum</t>
  </si>
  <si>
    <t>Nur Ayuni</t>
  </si>
  <si>
    <t>Faszeli</t>
  </si>
  <si>
    <t>Rizadora</t>
  </si>
  <si>
    <t>Izani</t>
  </si>
  <si>
    <t>Fikri</t>
  </si>
  <si>
    <t>Kak Ain</t>
  </si>
  <si>
    <t>Kak Aisyah</t>
  </si>
  <si>
    <t>Kak Marzieyana</t>
  </si>
  <si>
    <t>Natasha</t>
  </si>
  <si>
    <t>Yusaila</t>
  </si>
  <si>
    <t>Shafu Azhar Miskon</t>
  </si>
  <si>
    <t>Prof Azlina</t>
  </si>
  <si>
    <t>Aimah</t>
  </si>
  <si>
    <t xml:space="preserve">Dr Razi </t>
  </si>
  <si>
    <t>Jurina</t>
  </si>
  <si>
    <t>Ashraff</t>
  </si>
  <si>
    <t>Fazilah</t>
  </si>
  <si>
    <t>Hairul</t>
  </si>
  <si>
    <t>Wan Raizan</t>
  </si>
  <si>
    <t>Dr Azliza</t>
  </si>
  <si>
    <t>Dr Ana</t>
  </si>
  <si>
    <t>Nadia</t>
  </si>
  <si>
    <t>Kak Norita</t>
  </si>
  <si>
    <t xml:space="preserve">wan </t>
  </si>
  <si>
    <t>Faidah</t>
  </si>
  <si>
    <t>Zuraiha</t>
  </si>
  <si>
    <t>Haire Kahfi</t>
  </si>
  <si>
    <t>Khairul Ihsan</t>
  </si>
  <si>
    <t>GURU DAN AKP SKSL</t>
  </si>
  <si>
    <t>102 X2 = 204</t>
  </si>
  <si>
    <t>Masita</t>
  </si>
  <si>
    <t>SKSL</t>
  </si>
  <si>
    <t>Nor Maziati Bakar</t>
  </si>
  <si>
    <t xml:space="preserve">Tengku Arif </t>
  </si>
  <si>
    <t>Adib Aiman</t>
  </si>
  <si>
    <t>Kak Ayuni Salim</t>
  </si>
  <si>
    <t>HANNAH</t>
  </si>
  <si>
    <t>Maslindayati Mustajap</t>
  </si>
  <si>
    <t>SKKB</t>
  </si>
  <si>
    <t>Ustaz Mad Noor</t>
  </si>
  <si>
    <t xml:space="preserve">Kak Nazirah </t>
  </si>
  <si>
    <t>ASYIKIN</t>
  </si>
  <si>
    <t>Kak Izzati</t>
  </si>
  <si>
    <t>Kontrak</t>
  </si>
  <si>
    <t>ANIS</t>
  </si>
  <si>
    <t>Dr Sue</t>
  </si>
  <si>
    <t xml:space="preserve">Prof Rozita </t>
  </si>
  <si>
    <t>TEAH</t>
  </si>
  <si>
    <t>Dr Rasidah</t>
  </si>
  <si>
    <t xml:space="preserve">Dr Faizal </t>
  </si>
  <si>
    <t>ZATA</t>
  </si>
  <si>
    <t>Dr Sufi</t>
  </si>
  <si>
    <t>AIMI</t>
  </si>
  <si>
    <t>SAMBEST</t>
  </si>
  <si>
    <t>Abang Im</t>
  </si>
  <si>
    <t>AIN</t>
  </si>
  <si>
    <t>Syed Syukri</t>
  </si>
  <si>
    <t>Zainamiah</t>
  </si>
  <si>
    <t>AZRA</t>
  </si>
  <si>
    <t>Noor Amiliza Samsudin</t>
  </si>
  <si>
    <t>ALIYA</t>
  </si>
  <si>
    <t>Abang Amir</t>
  </si>
  <si>
    <t xml:space="preserve">Kak Farah </t>
  </si>
  <si>
    <t xml:space="preserve">Naufal </t>
  </si>
  <si>
    <t xml:space="preserve">Abang Khairil </t>
  </si>
  <si>
    <t>JIHAN</t>
  </si>
  <si>
    <t>Aiman (Engineering)</t>
  </si>
  <si>
    <t>UiTM</t>
  </si>
  <si>
    <t>Abang Jo (FSKM)</t>
  </si>
  <si>
    <t>HANIM</t>
  </si>
  <si>
    <t>Hisham</t>
  </si>
  <si>
    <t>Encik Awang</t>
  </si>
  <si>
    <t>PTj</t>
  </si>
  <si>
    <t>Kak Nazreen</t>
  </si>
  <si>
    <t>JIHUN</t>
  </si>
  <si>
    <t>Qudud</t>
  </si>
  <si>
    <t>AQILAH</t>
  </si>
  <si>
    <t>FATIMAH</t>
  </si>
  <si>
    <t>Izzat</t>
  </si>
  <si>
    <t>Dr Azlan</t>
  </si>
  <si>
    <t>IKHWAN</t>
  </si>
  <si>
    <t>Abang Hisham Pendaftar (Cuti)</t>
  </si>
  <si>
    <t>Pendaftar</t>
  </si>
  <si>
    <t>Rafizi KTP</t>
  </si>
  <si>
    <t>AIDIL</t>
  </si>
  <si>
    <t>JPI</t>
  </si>
  <si>
    <t>Rizal KTP Badminton</t>
  </si>
  <si>
    <t>HEP</t>
  </si>
  <si>
    <t xml:space="preserve">AMIER </t>
  </si>
  <si>
    <t>Kak Farah Zaiton</t>
  </si>
  <si>
    <t>Syafiq IT DIgital</t>
  </si>
  <si>
    <t>AIN MAI</t>
  </si>
  <si>
    <t>Hasif Integriti</t>
  </si>
  <si>
    <t>Zul</t>
  </si>
  <si>
    <t>Danial</t>
  </si>
  <si>
    <t>IJAT</t>
  </si>
  <si>
    <t>Abg Afendi</t>
  </si>
  <si>
    <t>TRU</t>
  </si>
  <si>
    <t>Kak Shamsida</t>
  </si>
  <si>
    <t>AZIE</t>
  </si>
  <si>
    <t>Kak Dashima</t>
  </si>
  <si>
    <t>Kak Suhaila</t>
  </si>
  <si>
    <t>IZZRIN</t>
  </si>
  <si>
    <t>Abang Nizam</t>
  </si>
  <si>
    <t>Abang Rizahafez</t>
  </si>
  <si>
    <t>NADHILAH</t>
  </si>
  <si>
    <t>Wan Noor Aishah Wan Hasan</t>
  </si>
  <si>
    <t>Kak Zurita</t>
  </si>
  <si>
    <t>IRFAN HAMDI</t>
  </si>
  <si>
    <t>Badminton Group UiTM HEP</t>
  </si>
  <si>
    <t>UiTM Badminton</t>
  </si>
  <si>
    <t>En Khanofi</t>
  </si>
  <si>
    <t>ABROR</t>
  </si>
  <si>
    <t>Abang Man</t>
  </si>
  <si>
    <t>Juan Lee</t>
  </si>
  <si>
    <t>SQS Group</t>
  </si>
  <si>
    <t>AZIMINA</t>
  </si>
  <si>
    <t>Martin</t>
  </si>
  <si>
    <t>Kiant Min</t>
  </si>
  <si>
    <t>MAHIRAH</t>
  </si>
  <si>
    <t>Xue Lim</t>
  </si>
  <si>
    <t>Ayuni</t>
  </si>
  <si>
    <t>Nadhirah Zackry</t>
  </si>
  <si>
    <t>WANI ALIAS</t>
  </si>
  <si>
    <t>Atiqah</t>
  </si>
  <si>
    <t xml:space="preserve">FATIN </t>
  </si>
  <si>
    <t>Fatin</t>
  </si>
  <si>
    <t>Fadhil</t>
  </si>
  <si>
    <t>Badminton Kambeng Golek</t>
  </si>
  <si>
    <t>SYU</t>
  </si>
  <si>
    <t>Bakri</t>
  </si>
  <si>
    <t>Adi Danial</t>
  </si>
  <si>
    <t>Hie</t>
  </si>
  <si>
    <t>MUNA</t>
  </si>
  <si>
    <t>Amir</t>
  </si>
  <si>
    <t>HANAN NIZAM</t>
  </si>
  <si>
    <t>Soleh</t>
  </si>
  <si>
    <t>Fahmi</t>
  </si>
  <si>
    <t xml:space="preserve">AINA </t>
  </si>
  <si>
    <t>Maznan</t>
  </si>
  <si>
    <t>Putra Perdana</t>
  </si>
  <si>
    <t>Akid</t>
  </si>
  <si>
    <t>ZULAIKHA</t>
  </si>
  <si>
    <t>Faris</t>
  </si>
  <si>
    <t>SYARAFANA</t>
  </si>
  <si>
    <t>Nazif</t>
  </si>
  <si>
    <t>AFLIN</t>
  </si>
  <si>
    <t>Zairul</t>
  </si>
  <si>
    <t>Shahiran</t>
  </si>
  <si>
    <t>ALIYA HUSNA</t>
  </si>
  <si>
    <t>Haiqal</t>
  </si>
  <si>
    <t xml:space="preserve">Firdaus </t>
  </si>
  <si>
    <t>ANISAH</t>
  </si>
  <si>
    <t>Shahril</t>
  </si>
  <si>
    <t>Aiman Shafiq</t>
  </si>
  <si>
    <t>UMMI</t>
  </si>
  <si>
    <t>SAMTTAR</t>
  </si>
  <si>
    <t>Faiz Jaafar</t>
  </si>
  <si>
    <t>Musab</t>
  </si>
  <si>
    <t>YANA</t>
  </si>
  <si>
    <t>Zb</t>
  </si>
  <si>
    <t>Muaaz</t>
  </si>
  <si>
    <t>FAQIHAH</t>
  </si>
  <si>
    <t>Naim</t>
  </si>
  <si>
    <t>Mustafa</t>
  </si>
  <si>
    <t>SHAU</t>
  </si>
  <si>
    <t>Nasrul</t>
  </si>
  <si>
    <t>UMMU HANI</t>
  </si>
  <si>
    <t>Izzuddin</t>
  </si>
  <si>
    <t>Nabil Aiman</t>
  </si>
  <si>
    <t>KAK MADI</t>
  </si>
  <si>
    <t>IPG</t>
  </si>
  <si>
    <t>Hazim</t>
  </si>
  <si>
    <t>Haris Azmin</t>
  </si>
  <si>
    <t>AMAN</t>
  </si>
  <si>
    <t>Haikal</t>
  </si>
  <si>
    <t>Syazwan</t>
  </si>
  <si>
    <t>SHASHA</t>
  </si>
  <si>
    <t>Hakimi</t>
  </si>
  <si>
    <t>Nadhilah</t>
  </si>
  <si>
    <t>KAK FIQ</t>
  </si>
  <si>
    <t>Nadhrah</t>
  </si>
  <si>
    <t>Ismah</t>
  </si>
  <si>
    <t>Izzani</t>
  </si>
  <si>
    <t>KAK AIDA</t>
  </si>
  <si>
    <t>Syaf</t>
  </si>
  <si>
    <t>Azie</t>
  </si>
  <si>
    <t>SYIFAA</t>
  </si>
  <si>
    <t>Nurjihan</t>
  </si>
  <si>
    <t>Hannan Nacol</t>
  </si>
  <si>
    <t>AISYAH NADIAH</t>
  </si>
  <si>
    <t>ATHIRAH</t>
  </si>
  <si>
    <t>FIKRIAH</t>
  </si>
  <si>
    <t>KAK AISYAH JAINUDDIN</t>
  </si>
  <si>
    <t>Raiha Izzati</t>
  </si>
  <si>
    <t>KAK AKMA</t>
  </si>
  <si>
    <t>Jiwan</t>
  </si>
  <si>
    <t>Atikah Nawam</t>
  </si>
  <si>
    <t>KAK AZLIA</t>
  </si>
  <si>
    <t>Alia Natasha</t>
  </si>
  <si>
    <r>
      <rPr>
        <rFont val="Calibri"/>
        <b/>
        <color theme="1"/>
        <sz val="10.0"/>
      </rPr>
      <t>NO.</t>
    </r>
  </si>
  <si>
    <t>Aina Nadiah Azman</t>
  </si>
  <si>
    <t>KAK BALQIS</t>
  </si>
  <si>
    <t>Izzah Athirah</t>
  </si>
  <si>
    <t>Farhana Arman</t>
  </si>
  <si>
    <r>
      <rPr>
        <rFont val="Calibri"/>
        <b/>
        <color theme="1"/>
        <sz val="10.0"/>
      </rPr>
      <t>DESCRIPTION</t>
    </r>
  </si>
  <si>
    <t>KAK HANIS</t>
  </si>
  <si>
    <t>Shahirah Hamdan</t>
  </si>
  <si>
    <t>KAK IZZAH AZMI</t>
  </si>
  <si>
    <t>Fazu</t>
  </si>
  <si>
    <r>
      <rPr>
        <rFont val="Calibri"/>
        <b/>
        <color theme="1"/>
        <sz val="10.0"/>
      </rPr>
      <t>BUDGETED</t>
    </r>
  </si>
  <si>
    <t>Ustaz Fahmi</t>
  </si>
  <si>
    <t>Cikgu Sambest</t>
  </si>
  <si>
    <t>KAK MARDIAH</t>
  </si>
  <si>
    <t>Cg Rohaizad</t>
  </si>
  <si>
    <r>
      <rPr>
        <rFont val="Calibri"/>
        <b/>
        <color theme="1"/>
        <sz val="10.0"/>
      </rPr>
      <t>ACTUAL</t>
    </r>
  </si>
  <si>
    <t>Ustazah Suriyati</t>
  </si>
  <si>
    <t>KAK MIZA</t>
  </si>
  <si>
    <t>Abang Jep</t>
  </si>
  <si>
    <r>
      <rPr>
        <rFont val="Calibri"/>
        <b/>
        <color theme="1"/>
        <sz val="10.0"/>
      </rPr>
      <t>PAID</t>
    </r>
  </si>
  <si>
    <t>Lecturer UUM</t>
  </si>
  <si>
    <t>KAK SARAH</t>
  </si>
  <si>
    <t>Prof Nazihah</t>
  </si>
  <si>
    <r>
      <rPr>
        <rFont val="Calibri"/>
        <b/>
        <color theme="1"/>
        <sz val="10.0"/>
      </rPr>
      <t>NOTES</t>
    </r>
  </si>
  <si>
    <t>Dr Teh</t>
  </si>
  <si>
    <t>KAK SYERA</t>
  </si>
  <si>
    <t>Abang Naqi</t>
  </si>
  <si>
    <t>SAMSMEL</t>
  </si>
  <si>
    <r>
      <rPr>
        <rFont val="Calibri"/>
        <b/>
        <color theme="1"/>
        <sz val="10.0"/>
      </rPr>
      <t>RM</t>
    </r>
  </si>
  <si>
    <t>Abang Hamzah</t>
  </si>
  <si>
    <t>KAK SYUHADA</t>
  </si>
  <si>
    <r>
      <rPr>
        <rFont val="Calibri"/>
        <b/>
        <color theme="1"/>
        <sz val="10.0"/>
      </rPr>
      <t>RM</t>
    </r>
  </si>
  <si>
    <t>Abang Wafi</t>
  </si>
  <si>
    <t>Abang Azhari</t>
  </si>
  <si>
    <t>NURIN HUSNA</t>
  </si>
  <si>
    <t>Cikgu Atikah</t>
  </si>
  <si>
    <t>Hazim Zack</t>
  </si>
  <si>
    <t>SYARA</t>
  </si>
  <si>
    <t>Afif Akram</t>
  </si>
  <si>
    <t>Nabil</t>
  </si>
  <si>
    <t>KAK UMI</t>
  </si>
  <si>
    <t>Erat</t>
  </si>
  <si>
    <t>Syabas</t>
  </si>
  <si>
    <r>
      <rPr>
        <rFont val="Calibri"/>
        <b/>
        <color theme="1"/>
        <sz val="10.0"/>
      </rPr>
      <t>Pertunangan</t>
    </r>
  </si>
  <si>
    <t>Aziem</t>
  </si>
  <si>
    <t>KAK MUAFA</t>
  </si>
  <si>
    <t>SRITI</t>
  </si>
  <si>
    <t>Syahmi</t>
  </si>
  <si>
    <t>JAZIMAH</t>
  </si>
  <si>
    <t>Master UKM</t>
  </si>
  <si>
    <t>Hathim</t>
  </si>
  <si>
    <t>KAK ODAH</t>
  </si>
  <si>
    <t>Fakhrul</t>
  </si>
  <si>
    <t xml:space="preserve">Khalid </t>
  </si>
  <si>
    <t>ZAHIRAH</t>
  </si>
  <si>
    <t>Luqman</t>
  </si>
  <si>
    <t>Nazmi</t>
  </si>
  <si>
    <t>TIEYA</t>
  </si>
  <si>
    <t>Kak Asma</t>
  </si>
  <si>
    <t>Hajar</t>
  </si>
  <si>
    <t>KAK ILI</t>
  </si>
  <si>
    <t>Kak Spek</t>
  </si>
  <si>
    <t>Kimi Ex-STAM</t>
  </si>
  <si>
    <t>Ex-STAM</t>
  </si>
  <si>
    <t>KAK FALAH</t>
  </si>
  <si>
    <t>Ezham</t>
  </si>
  <si>
    <t>SRAKB</t>
  </si>
  <si>
    <t>STAM</t>
  </si>
  <si>
    <t>Abror</t>
  </si>
  <si>
    <t>CAH</t>
  </si>
  <si>
    <t>Ayis</t>
  </si>
  <si>
    <t>UNISZA</t>
  </si>
  <si>
    <t>Aidil</t>
  </si>
  <si>
    <t>JIE</t>
  </si>
  <si>
    <t>Aliff Haikal</t>
  </si>
  <si>
    <t>Chumilss</t>
  </si>
  <si>
    <t>WANA</t>
  </si>
  <si>
    <t>Faiz</t>
  </si>
  <si>
    <t>Faleh</t>
  </si>
  <si>
    <t>WA</t>
  </si>
  <si>
    <t>Firdaus</t>
  </si>
  <si>
    <t>Hasan Basri</t>
  </si>
  <si>
    <t>ARAH</t>
  </si>
  <si>
    <t>Haziq Stam</t>
  </si>
  <si>
    <t>UMAI</t>
  </si>
  <si>
    <t>Ikhwan Hisham</t>
  </si>
  <si>
    <t>Luqman Podol</t>
  </si>
  <si>
    <t>BAT</t>
  </si>
  <si>
    <t>Muzzammil</t>
  </si>
  <si>
    <t>Alfi</t>
  </si>
  <si>
    <t>ZYHAH</t>
  </si>
  <si>
    <t>Naqi</t>
  </si>
  <si>
    <t>Shuk</t>
  </si>
  <si>
    <t>JIBAH</t>
  </si>
  <si>
    <t>Salam</t>
  </si>
  <si>
    <t>Aniq</t>
  </si>
  <si>
    <t>DSG</t>
  </si>
  <si>
    <t>Ustazah Rozanaa</t>
  </si>
  <si>
    <t>FARHANA</t>
  </si>
  <si>
    <t>Fatnab</t>
  </si>
  <si>
    <t>Selendang</t>
  </si>
  <si>
    <t>PDPP</t>
  </si>
  <si>
    <t>Syamimi</t>
  </si>
  <si>
    <t>KAK SHU</t>
  </si>
  <si>
    <t>Nad</t>
  </si>
  <si>
    <t>Shuhada</t>
  </si>
  <si>
    <t>Azra</t>
  </si>
  <si>
    <t>Ntah</t>
  </si>
  <si>
    <t>Izzah Majid</t>
  </si>
  <si>
    <t>Maisarah</t>
  </si>
  <si>
    <t>Ain Nabila</t>
  </si>
  <si>
    <t>Zakiyyah</t>
  </si>
  <si>
    <t>Aina Irdina</t>
  </si>
  <si>
    <t>Aimi</t>
  </si>
  <si>
    <t>Maryam</t>
  </si>
  <si>
    <t>Husna</t>
  </si>
  <si>
    <t>Mon</t>
  </si>
  <si>
    <t>JKPS TM</t>
  </si>
  <si>
    <t>Yuva</t>
  </si>
  <si>
    <t>JKPS TaG</t>
  </si>
  <si>
    <t>Hafiz</t>
  </si>
  <si>
    <t>Ikhwan Zulkiflee</t>
  </si>
  <si>
    <t>Yaya</t>
  </si>
  <si>
    <t>Syaif</t>
  </si>
  <si>
    <r>
      <rPr>
        <rFont val="Calibri"/>
        <color theme="1"/>
        <sz val="10.0"/>
      </rPr>
      <t>Bunga Tangan</t>
    </r>
  </si>
  <si>
    <t>Natasha Amila</t>
  </si>
  <si>
    <t>Munifah</t>
  </si>
  <si>
    <t>Moon</t>
  </si>
  <si>
    <t>Jess</t>
  </si>
  <si>
    <t>Haifa</t>
  </si>
  <si>
    <t>Arif TaG</t>
  </si>
  <si>
    <t>Faris TaG</t>
  </si>
  <si>
    <t>Aiman</t>
  </si>
  <si>
    <t>Anep</t>
  </si>
  <si>
    <t>JKPS Grantt</t>
  </si>
  <si>
    <t>Amirul</t>
  </si>
  <si>
    <t>Azreen</t>
  </si>
  <si>
    <t>Izzati</t>
  </si>
  <si>
    <t>Natasha Afiqah</t>
  </si>
  <si>
    <t>UUM</t>
  </si>
  <si>
    <t>Afinaa</t>
  </si>
  <si>
    <t>Wee</t>
  </si>
  <si>
    <t>Maya</t>
  </si>
  <si>
    <r>
      <rPr>
        <rFont val="Calibri"/>
        <color theme="1"/>
        <sz val="10.0"/>
      </rPr>
      <t>Jamuan makan</t>
    </r>
  </si>
  <si>
    <t>4 Fingers</t>
  </si>
  <si>
    <t>Yo</t>
  </si>
  <si>
    <t>Adam Isqandar</t>
  </si>
  <si>
    <r>
      <rPr>
        <rFont val="Calibri"/>
        <color theme="1"/>
        <sz val="10.0"/>
      </rPr>
      <t>Perjalanan pergi dan balik rombongan</t>
    </r>
  </si>
  <si>
    <t>Arep</t>
  </si>
  <si>
    <t>Aisyah</t>
  </si>
  <si>
    <t>Farah</t>
  </si>
  <si>
    <t>Sir Iqbal</t>
  </si>
  <si>
    <t>Amira</t>
  </si>
  <si>
    <t>AIA</t>
  </si>
  <si>
    <t>Ruby</t>
  </si>
  <si>
    <t>Hershey</t>
  </si>
  <si>
    <t>Bradley</t>
  </si>
  <si>
    <t>Nurul</t>
  </si>
  <si>
    <t>Wen Khang</t>
  </si>
  <si>
    <t>Jessie</t>
  </si>
  <si>
    <t xml:space="preserve">Haimi </t>
  </si>
  <si>
    <r>
      <rPr>
        <rFont val="Calibri"/>
        <b/>
        <color theme="1"/>
        <sz val="10.0"/>
      </rPr>
      <t>a.</t>
    </r>
  </si>
  <si>
    <r>
      <rPr>
        <rFont val="Calibri"/>
        <b/>
        <color theme="1"/>
        <sz val="10.0"/>
      </rPr>
      <t>Barang Hantaran (Lelaki sediakan)</t>
    </r>
  </si>
  <si>
    <t>Angie</t>
  </si>
  <si>
    <t>Salahuddin</t>
  </si>
  <si>
    <t>Kent Lore</t>
  </si>
  <si>
    <t>Ezlin</t>
  </si>
  <si>
    <t>Adila</t>
  </si>
  <si>
    <t>Chew HLA</t>
  </si>
  <si>
    <t>HLA</t>
  </si>
  <si>
    <t>Khai Shen</t>
  </si>
  <si>
    <t>Shuhaimi</t>
  </si>
  <si>
    <t>Jemputan Ayah</t>
  </si>
  <si>
    <t>Abg Ghani</t>
  </si>
  <si>
    <t>Hantaran 3: Buah-buahan</t>
  </si>
  <si>
    <t>Ani</t>
  </si>
  <si>
    <t>Mimi</t>
  </si>
  <si>
    <t>Ayie</t>
  </si>
  <si>
    <t>Ali</t>
  </si>
  <si>
    <t>Adik beradik Lain</t>
  </si>
  <si>
    <t>Abg Apong</t>
  </si>
  <si>
    <t>Haziq</t>
  </si>
  <si>
    <t>Afiq</t>
  </si>
  <si>
    <t>Izzul</t>
  </si>
  <si>
    <t>Kak Idok</t>
  </si>
  <si>
    <t>Hafizah</t>
  </si>
  <si>
    <t>Nasir</t>
  </si>
  <si>
    <t>Cik Sarah</t>
  </si>
  <si>
    <r>
      <rPr>
        <rFont val="Calibri"/>
        <b/>
        <color theme="1"/>
        <sz val="10.0"/>
      </rPr>
      <t>b.</t>
    </r>
  </si>
  <si>
    <t>CIk Ein</t>
  </si>
  <si>
    <r>
      <rPr>
        <rFont val="Calibri"/>
        <b/>
        <color theme="1"/>
        <sz val="10.0"/>
      </rPr>
      <t>Barang Hantaran (Perempuan sediakan)</t>
    </r>
  </si>
  <si>
    <t>Cik Ani</t>
  </si>
  <si>
    <t>MakAtok</t>
  </si>
  <si>
    <t xml:space="preserve">Jemputan Taman </t>
  </si>
  <si>
    <t>Jemputan Ibu</t>
  </si>
  <si>
    <t>Paklong</t>
  </si>
  <si>
    <t>Maklong</t>
  </si>
  <si>
    <t>Pausu</t>
  </si>
  <si>
    <t>Adik Beradik Pengantin Perempuan</t>
  </si>
  <si>
    <r>
      <rPr>
        <rFont val="Calibri"/>
        <b/>
        <color theme="1"/>
        <sz val="10.0"/>
      </rPr>
      <t>JUMLAH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</si>
  <si>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</si>
  <si>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DESCRIPTION</t>
    </r>
  </si>
  <si>
    <r>
      <rPr>
        <rFont val="Calibri"/>
        <b/>
        <color theme="1"/>
        <sz val="10.0"/>
      </rPr>
      <t>BUDGETED</t>
    </r>
  </si>
  <si>
    <r>
      <rPr>
        <rFont val="Calibri"/>
        <b/>
        <color theme="1"/>
        <sz val="10.0"/>
      </rPr>
      <t>ACTUAL</t>
    </r>
  </si>
  <si>
    <r>
      <rPr>
        <rFont val="Calibri"/>
        <b/>
        <color theme="1"/>
        <sz val="10.0"/>
      </rPr>
      <t>PAID</t>
    </r>
  </si>
  <si>
    <r>
      <rPr>
        <rFont val="Calibri"/>
        <b/>
        <color theme="1"/>
        <sz val="10.0"/>
      </rPr>
      <t>NOTES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</si>
  <si>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</si>
  <si>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</si>
  <si>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Majlis Pernikahan</t>
    </r>
  </si>
  <si>
    <r>
      <rPr>
        <rFont val="Calibri"/>
        <color theme="1"/>
        <sz val="10.0"/>
      </rPr>
      <t>Mas Kahwin</t>
    </r>
  </si>
  <si>
    <r>
      <rPr>
        <rFont val="Calibri"/>
        <color theme="1"/>
        <sz val="10.0"/>
      </rPr>
      <t>Upah Jurunikah</t>
    </r>
  </si>
  <si>
    <r>
      <rPr>
        <rFont val="Calibri"/>
        <color theme="1"/>
        <sz val="10.0"/>
      </rPr>
      <t>Dewan Nikah</t>
    </r>
  </si>
  <si>
    <r>
      <rPr>
        <rFont val="Calibri"/>
        <b/>
        <color theme="1"/>
        <sz val="10.0"/>
      </rPr>
      <t>a.</t>
    </r>
  </si>
  <si>
    <r>
      <rPr>
        <rFont val="Calibri"/>
        <b/>
        <color theme="1"/>
        <sz val="10.0"/>
      </rPr>
      <t>Barang Hantaran (Lelaki sediakan)</t>
    </r>
  </si>
  <si>
    <r>
      <rPr>
        <rFont val="Calibri"/>
        <color theme="1"/>
        <sz val="10.0"/>
      </rPr>
      <t>Gubahan Dulang X 5</t>
    </r>
  </si>
  <si>
    <r>
      <rPr>
        <rFont val="Calibri"/>
        <b/>
        <color theme="1"/>
        <sz val="10.0"/>
      </rPr>
      <t>Barang Hantaran (Perempuan sediakan)</t>
    </r>
  </si>
  <si>
    <r>
      <rPr>
        <rFont val="Calibri"/>
        <color theme="1"/>
        <sz val="10.0"/>
      </rPr>
      <t>Gubahan Dulang X 7</t>
    </r>
  </si>
  <si>
    <r>
      <rPr>
        <rFont val="Calibri"/>
        <b/>
        <color theme="1"/>
        <sz val="10.0"/>
      </rPr>
      <t>b.</t>
    </r>
  </si>
  <si>
    <r>
      <rPr>
        <rFont val="Calibri"/>
        <b/>
        <color theme="1"/>
        <sz val="10.0"/>
      </rPr>
      <t>Persiapan</t>
    </r>
  </si>
  <si>
    <r>
      <rPr>
        <rFont val="Calibri"/>
        <color theme="1"/>
        <sz val="10.0"/>
      </rPr>
      <t>Pelamin Nikah</t>
    </r>
  </si>
  <si>
    <r>
      <rPr>
        <rFont val="Calibri"/>
        <color theme="1"/>
        <sz val="10.0"/>
      </rPr>
      <t>Inai &amp; Henna</t>
    </r>
  </si>
  <si>
    <r>
      <rPr>
        <rFont val="Calibri"/>
        <color theme="1"/>
        <sz val="10.0"/>
      </rPr>
      <t>Bunga Tangan</t>
    </r>
  </si>
  <si>
    <r>
      <rPr>
        <rFont val="Calibri"/>
        <b/>
        <color theme="1"/>
        <sz val="10.0"/>
      </rPr>
      <t>c.</t>
    </r>
  </si>
  <si>
    <r>
      <rPr>
        <rFont val="Calibri"/>
        <b/>
        <color theme="1"/>
        <sz val="10.0"/>
      </rPr>
      <t>Busana Pengantin Lelaki</t>
    </r>
  </si>
  <si>
    <r>
      <rPr>
        <rFont val="Calibri"/>
        <color theme="1"/>
        <sz val="10.0"/>
      </rPr>
      <t>Butang baju melayu</t>
    </r>
  </si>
  <si>
    <r>
      <rPr>
        <rFont val="Calibri"/>
        <color theme="1"/>
        <sz val="10.0"/>
      </rPr>
      <t>Singlet putih</t>
    </r>
  </si>
  <si>
    <r>
      <rPr>
        <rFont val="Calibri"/>
        <color theme="1"/>
        <sz val="10.0"/>
      </rPr>
      <t>Samping</t>
    </r>
  </si>
  <si>
    <r>
      <rPr>
        <rFont val="Calibri"/>
        <color theme="1"/>
        <sz val="10.0"/>
      </rPr>
      <t>Songkok &amp; Kerongsang</t>
    </r>
  </si>
  <si>
    <r>
      <rPr>
        <rFont val="Calibri"/>
        <color theme="1"/>
        <sz val="10.0"/>
      </rPr>
      <t>Kasut &amp; stokin</t>
    </r>
  </si>
  <si>
    <r>
      <rPr>
        <rFont val="Calibri"/>
        <b/>
        <color theme="1"/>
        <sz val="10.0"/>
      </rPr>
      <t>d.</t>
    </r>
  </si>
  <si>
    <r>
      <rPr>
        <rFont val="Calibri"/>
        <b/>
        <color theme="1"/>
        <sz val="10.0"/>
      </rPr>
      <t>Busana Pengantin Perempuan</t>
    </r>
  </si>
  <si>
    <r>
      <rPr>
        <rFont val="Calibri"/>
        <color theme="1"/>
        <sz val="10.0"/>
      </rPr>
      <t>Baju Kurung/ Nikah</t>
    </r>
  </si>
  <si>
    <r>
      <rPr>
        <rFont val="Calibri"/>
        <color theme="1"/>
        <sz val="10.0"/>
      </rPr>
      <t>Tudung &amp; anak tudung</t>
    </r>
  </si>
  <si>
    <r>
      <rPr>
        <rFont val="Calibri"/>
        <color theme="1"/>
        <sz val="10.0"/>
      </rPr>
      <t>Crown &amp; Veil</t>
    </r>
  </si>
  <si>
    <r>
      <rPr>
        <rFont val="Calibri"/>
        <color theme="1"/>
        <sz val="10.0"/>
      </rPr>
      <t>Kerongsang &amp; safety pin</t>
    </r>
  </si>
  <si>
    <r>
      <rPr>
        <rFont val="Calibri"/>
        <color theme="1"/>
        <sz val="10.0"/>
      </rPr>
      <t>Kasut &amp; stokin</t>
    </r>
  </si>
  <si>
    <r>
      <rPr>
        <rFont val="Calibri"/>
        <b/>
        <color theme="1"/>
        <sz val="10.0"/>
      </rPr>
      <t>e.</t>
    </r>
  </si>
  <si>
    <r>
      <rPr>
        <rFont val="Calibri"/>
        <b/>
        <color theme="1"/>
        <sz val="10.0"/>
      </rPr>
      <t>Kenduri</t>
    </r>
  </si>
  <si>
    <r>
      <rPr>
        <rFont val="Calibri"/>
        <color theme="1"/>
        <sz val="10.0"/>
      </rPr>
      <t>Kanopi &amp; hiasan</t>
    </r>
  </si>
  <si>
    <r>
      <rPr>
        <rFont val="Calibri"/>
        <color theme="1"/>
        <sz val="10.0"/>
      </rPr>
      <t>Kerusi &amp; Meja</t>
    </r>
  </si>
  <si>
    <r>
      <rPr>
        <rFont val="Calibri"/>
        <color theme="1"/>
        <sz val="10.0"/>
      </rPr>
      <t>Jamuan Makan</t>
    </r>
  </si>
  <si>
    <r>
      <rPr>
        <rFont val="Calibri"/>
        <b/>
        <color theme="1"/>
        <sz val="10.0"/>
      </rPr>
      <t>f.</t>
    </r>
  </si>
  <si>
    <r>
      <rPr>
        <rFont val="Calibri"/>
        <b/>
        <color theme="1"/>
        <sz val="10.0"/>
      </rPr>
      <t>Tambahan</t>
    </r>
  </si>
  <si>
    <r>
      <rPr>
        <rFont val="Calibri"/>
        <color theme="1"/>
        <sz val="10.0"/>
      </rPr>
      <t>Perjalanan pergi dan balik rombongan</t>
    </r>
  </si>
  <si>
    <r>
      <rPr>
        <rFont val="Calibri"/>
        <color theme="1"/>
        <sz val="10.0"/>
      </rPr>
      <t>Tempat tinggal rombongan</t>
    </r>
  </si>
  <si>
    <r>
      <rPr>
        <rFont val="Calibri"/>
        <b/>
        <color theme="1"/>
        <sz val="10.0"/>
      </rPr>
      <t>JUMLAH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</si>
  <si>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</si>
  <si>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DESCRIPTION</t>
    </r>
  </si>
  <si>
    <r>
      <rPr>
        <rFont val="Calibri"/>
        <b/>
        <color theme="1"/>
        <sz val="10.0"/>
      </rPr>
      <t>BUDGETED</t>
    </r>
  </si>
  <si>
    <r>
      <rPr>
        <rFont val="Calibri"/>
        <b/>
        <color theme="1"/>
        <sz val="10.0"/>
      </rPr>
      <t>ACTUAL</t>
    </r>
  </si>
  <si>
    <r>
      <rPr>
        <rFont val="Calibri"/>
        <b/>
        <color theme="1"/>
        <sz val="10.0"/>
      </rPr>
      <t>PAID</t>
    </r>
  </si>
  <si>
    <r>
      <rPr>
        <rFont val="Calibri"/>
        <b/>
        <color theme="1"/>
        <sz val="10.0"/>
      </rPr>
      <t>NOTES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</si>
  <si>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</si>
  <si>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</si>
  <si>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Resepsi Belah Perempuan</t>
    </r>
  </si>
  <si>
    <r>
      <rPr>
        <rFont val="Calibri"/>
        <b/>
        <color theme="1"/>
        <sz val="10.0"/>
      </rPr>
      <t>a.</t>
    </r>
  </si>
  <si>
    <r>
      <rPr>
        <rFont val="Calibri"/>
        <b/>
        <color theme="1"/>
        <sz val="10.0"/>
      </rPr>
      <t>Persiapan</t>
    </r>
  </si>
  <si>
    <r>
      <rPr>
        <rFont val="Calibri"/>
        <color theme="1"/>
        <sz val="10.0"/>
      </rPr>
      <t>Bunga Tangan</t>
    </r>
  </si>
  <si>
    <r>
      <rPr>
        <rFont val="Calibri"/>
        <color theme="1"/>
        <sz val="10.0"/>
      </rPr>
      <t>Payung x 2</t>
    </r>
  </si>
  <si>
    <r>
      <rPr>
        <rFont val="Calibri"/>
        <color theme="1"/>
        <sz val="10.0"/>
      </rPr>
      <t>Hotel/tempat bersiap</t>
    </r>
  </si>
  <si>
    <r>
      <rPr>
        <rFont val="Calibri"/>
        <b/>
        <color theme="1"/>
        <sz val="10.0"/>
      </rPr>
      <t>b.</t>
    </r>
  </si>
  <si>
    <r>
      <rPr>
        <rFont val="Calibri"/>
        <b/>
        <color theme="1"/>
        <sz val="10.0"/>
      </rPr>
      <t>Busana Pengantin Lelaki</t>
    </r>
  </si>
  <si>
    <r>
      <rPr>
        <rFont val="Calibri"/>
        <color theme="1"/>
        <sz val="10.0"/>
      </rPr>
      <t>Set Sewa Baju Kahwin</t>
    </r>
  </si>
  <si>
    <r>
      <rPr>
        <rFont val="Calibri"/>
        <color theme="1"/>
        <sz val="10.0"/>
      </rPr>
      <t>Kasut &amp; stoking</t>
    </r>
  </si>
  <si>
    <r>
      <rPr>
        <rFont val="Calibri"/>
        <b/>
        <color theme="1"/>
        <sz val="10.0"/>
      </rPr>
      <t>c.</t>
    </r>
  </si>
  <si>
    <r>
      <rPr>
        <rFont val="Calibri"/>
        <b/>
        <color theme="1"/>
        <sz val="10.0"/>
      </rPr>
      <t>Busana Pengantin Perempuan</t>
    </r>
  </si>
  <si>
    <r>
      <rPr>
        <rFont val="Calibri"/>
        <color theme="1"/>
        <sz val="10.0"/>
      </rPr>
      <t>Set Sewa Baju Kahwin</t>
    </r>
  </si>
  <si>
    <r>
      <rPr>
        <rFont val="Calibri"/>
        <color theme="1"/>
        <sz val="10.0"/>
      </rPr>
      <t>Tudung</t>
    </r>
  </si>
  <si>
    <r>
      <rPr>
        <rFont val="Calibri"/>
        <color theme="1"/>
        <sz val="10.0"/>
      </rPr>
      <t>Kerongsang</t>
    </r>
  </si>
  <si>
    <r>
      <rPr>
        <rFont val="Calibri"/>
        <color theme="1"/>
        <sz val="10.0"/>
      </rPr>
      <t>Kasut &amp; stoking</t>
    </r>
  </si>
  <si>
    <r>
      <rPr>
        <rFont val="Calibri"/>
        <color theme="1"/>
        <sz val="10.0"/>
      </rPr>
      <t>Inai &amp; Henna</t>
    </r>
  </si>
  <si>
    <r>
      <rPr>
        <rFont val="Calibri"/>
        <b/>
        <color theme="1"/>
        <sz val="10.0"/>
      </rPr>
      <t>d.</t>
    </r>
  </si>
  <si>
    <r>
      <rPr>
        <rFont val="Calibri"/>
        <b/>
        <color theme="1"/>
        <sz val="10.0"/>
      </rPr>
      <t>Lokasi</t>
    </r>
  </si>
  <si>
    <r>
      <rPr>
        <rFont val="Calibri"/>
        <color theme="1"/>
        <sz val="10.0"/>
      </rPr>
      <t>Banner/banting/signage</t>
    </r>
  </si>
  <si>
    <r>
      <rPr>
        <rFont val="Calibri"/>
        <color theme="1"/>
        <sz val="10.0"/>
      </rPr>
      <t>Sewaan Dewan</t>
    </r>
  </si>
  <si>
    <r>
      <rPr>
        <rFont val="Calibri"/>
        <color theme="1"/>
        <sz val="10.0"/>
      </rPr>
      <t>Hiasan Dewan, Walkway</t>
    </r>
  </si>
  <si>
    <r>
      <rPr>
        <rFont val="Calibri"/>
        <color theme="1"/>
        <sz val="10.0"/>
      </rPr>
      <t>Pintu Gerbang</t>
    </r>
  </si>
  <si>
    <r>
      <rPr>
        <rFont val="Calibri"/>
        <color theme="1"/>
        <sz val="10.0"/>
      </rPr>
      <t>Pelamin</t>
    </r>
  </si>
  <si>
    <r>
      <rPr>
        <rFont val="Calibri"/>
        <color theme="1"/>
        <sz val="10.0"/>
      </rPr>
      <t>Bunga Pahar</t>
    </r>
  </si>
  <si>
    <r>
      <rPr>
        <rFont val="Calibri"/>
        <color theme="1"/>
        <sz val="10.0"/>
      </rPr>
      <t>Kerusi &amp; Meja</t>
    </r>
  </si>
  <si>
    <r>
      <rPr>
        <rFont val="Calibri"/>
        <color theme="1"/>
        <sz val="10.0"/>
      </rPr>
      <t>Meja Kek &amp; Meja Hadiah</t>
    </r>
  </si>
  <si>
    <r>
      <rPr>
        <rFont val="Calibri"/>
        <color theme="1"/>
        <sz val="10.0"/>
      </rPr>
      <t>Guestbook &amp; Pen</t>
    </r>
  </si>
  <si>
    <r>
      <rPr>
        <rFont val="Calibri"/>
        <color theme="1"/>
        <sz val="10.0"/>
      </rPr>
      <t>Audio System / DJ</t>
    </r>
  </si>
  <si>
    <r>
      <rPr>
        <rFont val="Calibri"/>
        <color theme="1"/>
        <sz val="10.0"/>
      </rPr>
      <t>Kompang/ berzanji/marhaban</t>
    </r>
  </si>
  <si>
    <r>
      <rPr>
        <rFont val="Calibri"/>
        <color theme="1"/>
        <sz val="10.0"/>
      </rPr>
      <t>Doorgift VIP</t>
    </r>
  </si>
  <si>
    <r>
      <rPr>
        <rFont val="Calibri"/>
        <b/>
        <color theme="1"/>
        <sz val="10.0"/>
      </rPr>
      <t>e.</t>
    </r>
  </si>
  <si>
    <r>
      <rPr>
        <rFont val="Calibri"/>
        <b/>
        <color theme="1"/>
        <sz val="10.0"/>
      </rPr>
      <t>Makanan</t>
    </r>
  </si>
  <si>
    <r>
      <rPr>
        <rFont val="Calibri"/>
        <color theme="1"/>
        <sz val="10.0"/>
      </rPr>
      <t>Set Meja Pengantin</t>
    </r>
  </si>
  <si>
    <r>
      <rPr>
        <rFont val="Calibri"/>
        <color theme="1"/>
        <sz val="10.0"/>
      </rPr>
      <t>Katering : Lauk Pengantin</t>
    </r>
  </si>
  <si>
    <r>
      <rPr>
        <rFont val="Calibri"/>
        <color theme="1"/>
        <sz val="10.0"/>
      </rPr>
      <t>Katering : Lauk Tetamu</t>
    </r>
  </si>
  <si>
    <r>
      <rPr>
        <rFont val="Calibri"/>
        <color theme="1"/>
        <sz val="10.0"/>
      </rPr>
      <t>Candy Buffet</t>
    </r>
  </si>
  <si>
    <r>
      <rPr>
        <rFont val="Calibri"/>
        <b/>
        <color theme="1"/>
        <sz val="10.0"/>
      </rPr>
      <t>f.</t>
    </r>
  </si>
  <si>
    <r>
      <rPr>
        <rFont val="Calibri"/>
        <b/>
        <color theme="1"/>
        <sz val="10.0"/>
      </rPr>
      <t>Photography</t>
    </r>
  </si>
  <si>
    <r>
      <rPr>
        <rFont val="Calibri"/>
        <color theme="1"/>
        <sz val="10.0"/>
      </rPr>
      <t>Photobooth</t>
    </r>
  </si>
  <si>
    <r>
      <rPr>
        <rFont val="Calibri"/>
        <b/>
        <color theme="1"/>
        <sz val="10.0"/>
      </rPr>
      <t>g.</t>
    </r>
  </si>
  <si>
    <r>
      <rPr>
        <rFont val="Calibri"/>
        <b/>
        <color theme="1"/>
        <sz val="10.0"/>
      </rPr>
      <t>Tambahan</t>
    </r>
  </si>
  <si>
    <r>
      <rPr>
        <rFont val="Calibri"/>
        <color theme="1"/>
        <sz val="10.0"/>
      </rPr>
      <t>Baju Tema Keluarga</t>
    </r>
  </si>
  <si>
    <r>
      <rPr>
        <rFont val="Calibri"/>
        <color theme="1"/>
        <sz val="10.0"/>
      </rPr>
      <t>Baju Pengapit Lelaki &amp; Perempuan</t>
    </r>
  </si>
  <si>
    <r>
      <rPr>
        <rFont val="Calibri"/>
        <color theme="1"/>
        <sz val="10.0"/>
      </rPr>
      <t>Baju Bridesmaid &amp; Groomsman</t>
    </r>
  </si>
  <si>
    <r>
      <rPr>
        <rFont val="Calibri"/>
        <color rgb="FF000000"/>
        <sz val="10.0"/>
      </rPr>
      <t xml:space="preserve">Makanan untuk ahli keluarga yang hadir
</t>
    </r>
    <r>
      <rPr>
        <rFont val="Calibri"/>
        <color rgb="FF000000"/>
        <sz val="10.0"/>
      </rPr>
      <t>awal (sebelum dan selepas majlis)</t>
    </r>
  </si>
  <si>
    <r>
      <rPr>
        <rFont val="Calibri"/>
        <color theme="1"/>
        <sz val="10.0"/>
      </rPr>
      <t>Penginapan keluarga belah lelaki</t>
    </r>
  </si>
  <si>
    <r>
      <rPr>
        <rFont val="Calibri"/>
        <color theme="1"/>
        <sz val="10.0"/>
      </rPr>
      <t>Kos Perjalanan keluarga belah lelaki</t>
    </r>
  </si>
  <si>
    <r>
      <rPr>
        <rFont val="Calibri"/>
        <b/>
        <color theme="1"/>
        <sz val="10.0"/>
      </rPr>
      <t>JUMLAH</t>
    </r>
  </si>
  <si>
    <r>
      <rPr>
        <rFont val="Calibri"/>
        <b/>
        <color theme="1"/>
        <sz val="10.0"/>
      </rPr>
      <t>ITEM</t>
    </r>
  </si>
  <si>
    <r>
      <rPr>
        <rFont val="Calibri"/>
        <b/>
        <color theme="1"/>
        <sz val="10.0"/>
      </rPr>
      <t>DESCRIPTION</t>
    </r>
  </si>
  <si>
    <r>
      <rPr>
        <rFont val="Calibri"/>
        <b/>
        <color theme="1"/>
        <sz val="10.0"/>
      </rPr>
      <t>BUDGETED</t>
    </r>
  </si>
  <si>
    <r>
      <rPr>
        <rFont val="Calibri"/>
        <b/>
        <color theme="1"/>
        <sz val="10.0"/>
      </rPr>
      <t>ACTUAL</t>
    </r>
  </si>
  <si>
    <r>
      <rPr>
        <rFont val="Calibri"/>
        <b/>
        <color theme="1"/>
        <sz val="10.0"/>
      </rPr>
      <t>PAID</t>
    </r>
  </si>
  <si>
    <r>
      <rPr>
        <rFont val="Calibri"/>
        <b/>
        <color theme="1"/>
        <sz val="10.0"/>
      </rPr>
      <t>NOTES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</si>
  <si>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</si>
  <si>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RM</t>
    </r>
  </si>
  <si>
    <r>
      <rPr>
        <rFont val="Calibri"/>
        <b/>
        <color theme="1"/>
        <sz val="10.0"/>
      </rPr>
      <t>Resepsi Belah Perempuan</t>
    </r>
  </si>
  <si>
    <r>
      <rPr>
        <rFont val="Calibri"/>
        <b/>
        <color theme="1"/>
        <sz val="10.0"/>
      </rPr>
      <t>a.</t>
    </r>
  </si>
  <si>
    <r>
      <rPr>
        <rFont val="Calibri"/>
        <b/>
        <color theme="1"/>
        <sz val="10.0"/>
      </rPr>
      <t>Persiapan</t>
    </r>
  </si>
  <si>
    <r>
      <rPr>
        <rFont val="Calibri"/>
        <color theme="1"/>
        <sz val="10.0"/>
      </rPr>
      <t>Bunga Tangan</t>
    </r>
  </si>
  <si>
    <r>
      <rPr>
        <rFont val="Calibri"/>
        <color theme="1"/>
        <sz val="10.0"/>
      </rPr>
      <t>Payung x 2</t>
    </r>
  </si>
  <si>
    <r>
      <rPr>
        <rFont val="Calibri"/>
        <color theme="1"/>
        <sz val="10.0"/>
      </rPr>
      <t>Hiasan Bilik Tidur</t>
    </r>
  </si>
  <si>
    <r>
      <rPr>
        <rFont val="Calibri"/>
        <b/>
        <color theme="1"/>
        <sz val="10.0"/>
      </rPr>
      <t>b.</t>
    </r>
  </si>
  <si>
    <r>
      <rPr>
        <rFont val="Calibri"/>
        <b/>
        <color theme="1"/>
        <sz val="10.0"/>
      </rPr>
      <t>Busana Pengantin Lelaki</t>
    </r>
  </si>
  <si>
    <r>
      <rPr>
        <rFont val="Calibri"/>
        <color theme="1"/>
        <sz val="10.0"/>
      </rPr>
      <t>Set Sewa Baju Kahwin</t>
    </r>
  </si>
  <si>
    <r>
      <rPr>
        <rFont val="Calibri"/>
        <color theme="1"/>
        <sz val="10.0"/>
      </rPr>
      <t>Kasut &amp; stoking</t>
    </r>
  </si>
  <si>
    <r>
      <rPr>
        <rFont val="Calibri"/>
        <b/>
        <color theme="1"/>
        <sz val="10.0"/>
      </rPr>
      <t>c.</t>
    </r>
  </si>
  <si>
    <r>
      <rPr>
        <rFont val="Calibri"/>
        <b/>
        <color theme="1"/>
        <sz val="10.0"/>
      </rPr>
      <t>Busana Pengantin Perempuan</t>
    </r>
  </si>
  <si>
    <r>
      <rPr>
        <rFont val="Calibri"/>
        <color theme="1"/>
        <sz val="10.0"/>
      </rPr>
      <t>Set Sewa Baju Kahwin</t>
    </r>
  </si>
  <si>
    <r>
      <rPr>
        <rFont val="Calibri"/>
        <color theme="1"/>
        <sz val="10.0"/>
      </rPr>
      <t>Tudung</t>
    </r>
  </si>
  <si>
    <r>
      <rPr>
        <rFont val="Calibri"/>
        <color theme="1"/>
        <sz val="10.0"/>
      </rPr>
      <t>Kerongsang</t>
    </r>
  </si>
  <si>
    <r>
      <rPr>
        <rFont val="Calibri"/>
        <color theme="1"/>
        <sz val="10.0"/>
      </rPr>
      <t>Kasut &amp; stoking</t>
    </r>
  </si>
  <si>
    <r>
      <rPr>
        <rFont val="Calibri"/>
        <color theme="1"/>
        <sz val="10.0"/>
      </rPr>
      <t>Inai &amp; Henna</t>
    </r>
  </si>
  <si>
    <r>
      <rPr>
        <rFont val="Calibri"/>
        <b/>
        <color theme="1"/>
        <sz val="10.0"/>
      </rPr>
      <t>d.</t>
    </r>
  </si>
  <si>
    <r>
      <rPr>
        <rFont val="Calibri"/>
        <b/>
        <color theme="1"/>
        <sz val="10.0"/>
      </rPr>
      <t>Lokasi</t>
    </r>
  </si>
  <si>
    <r>
      <rPr>
        <rFont val="Calibri"/>
        <color theme="1"/>
        <sz val="10.0"/>
      </rPr>
      <t>Banner/banting/signage</t>
    </r>
  </si>
  <si>
    <r>
      <rPr>
        <rFont val="Calibri"/>
        <color theme="1"/>
        <sz val="10.0"/>
      </rPr>
      <t>Kanopi, skirting &amp; scallop</t>
    </r>
  </si>
  <si>
    <r>
      <rPr>
        <rFont val="Calibri"/>
        <color theme="1"/>
        <sz val="10.0"/>
      </rPr>
      <t>Hiasan Dewan, Walkway</t>
    </r>
  </si>
  <si>
    <r>
      <rPr>
        <rFont val="Calibri"/>
        <color theme="1"/>
        <sz val="10.0"/>
      </rPr>
      <t>Pintu Gerbang</t>
    </r>
  </si>
  <si>
    <r>
      <rPr>
        <rFont val="Calibri"/>
        <color theme="1"/>
        <sz val="10.0"/>
      </rPr>
      <t>Pelamin</t>
    </r>
  </si>
  <si>
    <r>
      <rPr>
        <rFont val="Calibri"/>
        <color theme="1"/>
        <sz val="10.0"/>
      </rPr>
      <t>Bunga Pahar</t>
    </r>
  </si>
  <si>
    <r>
      <rPr>
        <rFont val="Calibri"/>
        <color theme="1"/>
        <sz val="10.0"/>
      </rPr>
      <t>Kerusi &amp; Meja</t>
    </r>
  </si>
  <si>
    <r>
      <rPr>
        <rFont val="Calibri"/>
        <color theme="1"/>
        <sz val="10.0"/>
      </rPr>
      <t>Meja Kek &amp; Meja Hadiah</t>
    </r>
  </si>
  <si>
    <r>
      <rPr>
        <rFont val="Calibri"/>
        <color theme="1"/>
        <sz val="10.0"/>
      </rPr>
      <t>Guestbook &amp; Pen</t>
    </r>
  </si>
  <si>
    <r>
      <rPr>
        <rFont val="Calibri"/>
        <color theme="1"/>
        <sz val="10.0"/>
      </rPr>
      <t>Audio System / DJ</t>
    </r>
  </si>
  <si>
    <r>
      <rPr>
        <rFont val="Calibri"/>
        <color theme="1"/>
        <sz val="10.0"/>
      </rPr>
      <t>Kompang/ berzanji/marhaban</t>
    </r>
  </si>
  <si>
    <r>
      <rPr>
        <rFont val="Calibri"/>
        <b/>
        <color theme="1"/>
        <sz val="10.0"/>
      </rPr>
      <t>e.</t>
    </r>
  </si>
  <si>
    <r>
      <rPr>
        <rFont val="Calibri"/>
        <b/>
        <color theme="1"/>
        <sz val="10.0"/>
      </rPr>
      <t>Makanan</t>
    </r>
  </si>
  <si>
    <r>
      <rPr>
        <rFont val="Calibri"/>
        <color theme="1"/>
        <sz val="10.0"/>
      </rPr>
      <t>Set Meja Pengantin</t>
    </r>
  </si>
  <si>
    <r>
      <rPr>
        <rFont val="Calibri"/>
        <color theme="1"/>
        <sz val="10.0"/>
      </rPr>
      <t>Katering : Lauk Pengantin</t>
    </r>
  </si>
  <si>
    <r>
      <rPr>
        <rFont val="Calibri"/>
        <color theme="1"/>
        <sz val="10.0"/>
      </rPr>
      <t>Katering : Lauk Tetamu</t>
    </r>
  </si>
  <si>
    <r>
      <rPr>
        <rFont val="Calibri"/>
        <color theme="1"/>
        <sz val="10.0"/>
      </rPr>
      <t>Kek Kahwin</t>
    </r>
  </si>
  <si>
    <r>
      <rPr>
        <rFont val="Calibri"/>
        <color theme="1"/>
        <sz val="10.0"/>
      </rPr>
      <t>Candy Buffet</t>
    </r>
  </si>
  <si>
    <r>
      <rPr>
        <rFont val="Calibri"/>
        <b/>
        <color theme="1"/>
        <sz val="10.0"/>
      </rPr>
      <t>f.</t>
    </r>
  </si>
  <si>
    <r>
      <rPr>
        <rFont val="Calibri"/>
        <b/>
        <color theme="1"/>
        <sz val="10.0"/>
      </rPr>
      <t>Photography</t>
    </r>
  </si>
  <si>
    <r>
      <rPr>
        <rFont val="Calibri"/>
        <b/>
        <color theme="1"/>
        <sz val="10.0"/>
      </rPr>
      <t>g.</t>
    </r>
  </si>
  <si>
    <r>
      <rPr>
        <rFont val="Calibri"/>
        <b/>
        <color theme="1"/>
        <sz val="10.0"/>
      </rPr>
      <t>Tambahan</t>
    </r>
  </si>
  <si>
    <r>
      <rPr>
        <rFont val="Calibri"/>
        <color theme="1"/>
        <sz val="10.0"/>
      </rPr>
      <t>Baju Tema Keluarga</t>
    </r>
  </si>
  <si>
    <r>
      <rPr>
        <rFont val="Calibri"/>
        <color theme="1"/>
        <sz val="10.0"/>
      </rPr>
      <t>Baju Pengapit Lelaki &amp; Perempuan</t>
    </r>
  </si>
  <si>
    <r>
      <rPr>
        <rFont val="Calibri"/>
        <color theme="1"/>
        <sz val="10.0"/>
      </rPr>
      <t>Baju Bridesmaid &amp; Groomsman</t>
    </r>
  </si>
  <si>
    <r>
      <rPr>
        <rFont val="Calibri"/>
        <color rgb="FF000000"/>
        <sz val="10.0"/>
      </rPr>
      <t xml:space="preserve">Makanan untuk ahli keluarga yang hadir
</t>
    </r>
    <r>
      <rPr>
        <rFont val="Calibri"/>
        <color rgb="FF000000"/>
        <sz val="10.0"/>
      </rPr>
      <t>awal (sebelum dan selepas majlis)</t>
    </r>
  </si>
  <si>
    <r>
      <rPr>
        <rFont val="Calibri"/>
        <color theme="1"/>
        <sz val="10.0"/>
      </rPr>
      <t>Penginapan saudara mara</t>
    </r>
  </si>
  <si>
    <r>
      <rPr>
        <rFont val="Calibri"/>
        <color theme="1"/>
        <sz val="10.0"/>
      </rPr>
      <t>Penginapan keluarga belah lelaki</t>
    </r>
  </si>
  <si>
    <r>
      <rPr>
        <rFont val="Calibri"/>
        <color theme="1"/>
        <sz val="10.0"/>
      </rPr>
      <t>Kos Perjalanan keluarga belah lelaki</t>
    </r>
  </si>
  <si>
    <r>
      <rPr>
        <rFont val="Calibri"/>
        <b/>
        <color theme="1"/>
        <sz val="10.0"/>
      </rPr>
      <t>JUMLAH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</si>
</sst>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b/>
      <sz val="17.0"/>
      <color theme="1"/>
      <name val="Calibri"/>
    </font>
    <font>
      <b/>
      <sz val="18.0"/>
      <color theme="1"/>
      <name val="Calibri"/>
      <scheme val="minor"/>
    </font>
    <font>
      <b/>
      <sz val="10.0"/>
      <color theme="1"/>
      <name val="Calibri"/>
    </font>
    <font>
      <b/>
      <sz val="10.0"/>
      <color theme="1"/>
      <name val="Calibri"/>
      <scheme val="minor"/>
    </font>
    <font/>
    <font>
      <color theme="1"/>
      <name val="Calibri"/>
      <scheme val="minor"/>
    </font>
    <font>
      <sz val="10.0"/>
      <color rgb="FF000000"/>
      <name val="Calibri"/>
    </font>
    <font>
      <sz val="10.0"/>
      <color theme="1"/>
      <name val="Calibri"/>
    </font>
    <font>
      <sz val="10.0"/>
      <color theme="1"/>
      <name val="Calibri"/>
      <scheme val="minor"/>
    </font>
    <font>
      <b/>
      <sz val="10.0"/>
      <color rgb="FF000000"/>
      <name val="Calibri"/>
    </font>
    <font>
      <color theme="1"/>
      <name val="Calibri"/>
    </font>
    <font>
      <b/>
      <sz val="10.0"/>
      <color rgb="FF000000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92CDDC"/>
        <bgColor rgb="FF92CDDC"/>
      </patternFill>
    </fill>
    <fill>
      <patternFill patternType="solid">
        <fgColor rgb="FFB8CCE3"/>
        <bgColor rgb="FFB8CCE3"/>
      </patternFill>
    </fill>
    <fill>
      <patternFill patternType="solid">
        <fgColor rgb="FFDAEDF3"/>
        <bgColor rgb="FFDAED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5">
    <border/>
    <border>
      <left style="thin">
        <color rgb="FFA6A6A6"/>
      </left>
      <right style="thin">
        <color rgb="FFA6A6A6"/>
      </right>
      <top style="thin">
        <color rgb="FFA6A6A6"/>
      </top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808080"/>
      </bottom>
    </border>
    <border>
      <top style="thin">
        <color rgb="FFA6A6A6"/>
      </top>
      <bottom style="thin">
        <color rgb="FF808080"/>
      </bottom>
    </border>
    <border>
      <right style="thin">
        <color rgb="FFA6A6A6"/>
      </right>
      <top style="thin">
        <color rgb="FFA6A6A6"/>
      </top>
      <bottom style="thin">
        <color rgb="FF808080"/>
      </bottom>
    </border>
    <border>
      <left style="thin">
        <color rgb="FFA6A6A6"/>
      </left>
      <right style="thin">
        <color rgb="FF808080"/>
      </right>
      <top style="thin">
        <color rgb="FFA6A6A6"/>
      </top>
      <bottom style="thin">
        <color rgb="FFA6A6A6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A6A6A6"/>
      </left>
      <right style="thin">
        <color rgb="FFA6A6A6"/>
      </right>
      <top style="thin">
        <color rgb="FF808080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808080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horizontal="left" readingOrder="0" shrinkToFit="0" vertical="top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left" vertical="top"/>
    </xf>
    <xf borderId="0" fillId="2" fontId="6" numFmtId="0" xfId="0" applyAlignment="1" applyFill="1" applyFont="1">
      <alignment horizontal="left" readingOrder="0" vertical="top"/>
    </xf>
    <xf borderId="4" fillId="5" fontId="3" numFmtId="0" xfId="0" applyAlignment="1" applyBorder="1" applyFill="1" applyFont="1">
      <alignment horizontal="center" shrinkToFit="0" vertical="top" wrapText="1"/>
    </xf>
    <xf borderId="5" fillId="0" fontId="5" numFmtId="0" xfId="0" applyAlignment="1" applyBorder="1" applyFont="1">
      <alignment horizontal="left" vertical="top"/>
    </xf>
    <xf borderId="6" fillId="0" fontId="5" numFmtId="0" xfId="0" applyAlignment="1" applyBorder="1" applyFont="1">
      <alignment horizontal="left" vertical="top"/>
    </xf>
    <xf borderId="2" fillId="0" fontId="7" numFmtId="1" xfId="0" applyAlignment="1" applyBorder="1" applyFont="1" applyNumberFormat="1">
      <alignment horizontal="center" shrinkToFit="1" vertical="top" wrapText="0"/>
    </xf>
    <xf borderId="2" fillId="0" fontId="8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vertical="top"/>
    </xf>
    <xf borderId="2" fillId="0" fontId="7" numFmtId="0" xfId="0" applyAlignment="1" applyBorder="1" applyFont="1">
      <alignment horizontal="left" readingOrder="0" shrinkToFit="0" vertical="bottom" wrapText="1"/>
    </xf>
    <xf borderId="4" fillId="5" fontId="4" numFmtId="0" xfId="0" applyAlignment="1" applyBorder="1" applyFill="1" applyFont="1">
      <alignment horizontal="left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7" fillId="5" fontId="3" numFmtId="0" xfId="0" applyAlignment="1" applyBorder="1" applyFill="1" applyFont="1">
      <alignment horizontal="center" shrinkToFit="0" vertical="top" wrapText="1"/>
    </xf>
    <xf borderId="2" fillId="0" fontId="0" numFmtId="1" xfId="0" applyAlignment="1" applyBorder="1" applyFont="1" applyNumberFormat="1">
      <alignment horizontal="left" shrinkToFit="1" vertical="center" wrapText="0"/>
    </xf>
    <xf borderId="8" fillId="0" fontId="5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left" readingOrder="0" shrinkToFit="0" vertical="center" wrapText="1"/>
    </xf>
    <xf borderId="9" fillId="0" fontId="5" numFmtId="0" xfId="0" applyAlignment="1" applyBorder="1" applyFont="1">
      <alignment horizontal="left" vertical="top"/>
    </xf>
    <xf borderId="2" fillId="0" fontId="0" numFmtId="0" xfId="0" applyAlignment="1" applyBorder="1" applyFont="1">
      <alignment horizontal="left" readingOrder="0" shrinkToFit="0" vertical="center" wrapText="1"/>
    </xf>
    <xf borderId="2" fillId="6" fontId="3" numFmtId="0" xfId="0" applyAlignment="1" applyBorder="1" applyFill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bottom" wrapText="1"/>
    </xf>
    <xf borderId="10" fillId="6" fontId="3" numFmtId="0" xfId="0" applyAlignment="1" applyBorder="1" applyFill="1" applyFont="1">
      <alignment horizontal="left" shrinkToFit="0" vertical="top" wrapText="1"/>
    </xf>
    <xf borderId="2" fillId="0" fontId="8" numFmtId="0" xfId="0" applyAlignment="1" applyBorder="1" applyFont="1">
      <alignment horizontal="left" readingOrder="0" shrinkToFit="0" vertical="top" wrapText="1"/>
    </xf>
    <xf borderId="11" fillId="6" fontId="7" numFmtId="0" xfId="0" applyAlignment="1" applyBorder="1" applyFill="1" applyFont="1">
      <alignment horizontal="left" shrinkToFit="0" vertical="bottom" wrapText="1"/>
    </xf>
    <xf borderId="2" fillId="0" fontId="0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readingOrder="0" vertical="top"/>
    </xf>
    <xf borderId="12" fillId="0" fontId="7" numFmtId="0" xfId="0" applyAlignment="1" applyBorder="1" applyFont="1">
      <alignment horizontal="left" readingOrder="0" shrinkToFit="0" vertical="bottom" wrapText="1"/>
    </xf>
    <xf borderId="2" fillId="0" fontId="7" numFmtId="1" xfId="0" applyAlignment="1" applyBorder="1" applyFont="1" applyNumberFormat="1">
      <alignment horizontal="center" readingOrder="0" shrinkToFit="1" vertical="top" wrapText="0"/>
    </xf>
    <xf borderId="2" fillId="0" fontId="0" numFmtId="1" xfId="0" applyAlignment="1" applyBorder="1" applyFont="1" applyNumberFormat="1">
      <alignment horizontal="left" readingOrder="0" shrinkToFit="1" vertical="center" wrapText="0"/>
    </xf>
    <xf borderId="12" fillId="0" fontId="7" numFmtId="0" xfId="0" applyAlignment="1" applyBorder="1" applyFont="1">
      <alignment horizontal="left" shrinkToFit="0" vertical="bottom" wrapText="1"/>
    </xf>
    <xf borderId="4" fillId="0" fontId="10" numFmtId="1" xfId="0" applyAlignment="1" applyBorder="1" applyFont="1" applyNumberFormat="1">
      <alignment horizontal="right" readingOrder="0" shrinkToFit="1" vertical="top" wrapText="0"/>
    </xf>
    <xf borderId="2" fillId="6" fontId="3" numFmtId="0" xfId="0" applyAlignment="1" applyBorder="1" applyFill="1" applyFont="1">
      <alignment horizontal="left" shrinkToFit="0" vertical="top" wrapText="1"/>
    </xf>
    <xf borderId="0" fillId="2" fontId="6" numFmtId="0" xfId="0" applyAlignment="1" applyFill="1" applyFont="1">
      <alignment horizontal="left" vertical="top"/>
    </xf>
    <xf borderId="2" fillId="6" fontId="7" numFmtId="0" xfId="0" applyAlignment="1" applyBorder="1" applyFill="1" applyFont="1">
      <alignment horizontal="left" shrinkToFit="0" vertical="bottom" wrapText="1"/>
    </xf>
    <xf borderId="0" fillId="7" fontId="6" numFmtId="0" xfId="0" applyAlignment="1" applyFill="1" applyFont="1">
      <alignment horizontal="left" readingOrder="0" vertical="top"/>
    </xf>
    <xf borderId="2" fillId="0" fontId="9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left" readingOrder="0" shrinkToFit="0" vertical="bottom" wrapText="1"/>
    </xf>
    <xf borderId="2" fillId="6" fontId="7" numFmtId="0" xfId="0" applyAlignment="1" applyBorder="1" applyFill="1" applyFont="1">
      <alignment horizontal="center" shrinkToFit="0" vertical="bottom" wrapText="1"/>
    </xf>
    <xf borderId="0" fillId="7" fontId="6" numFmtId="0" xfId="0" applyAlignment="1" applyFill="1" applyFont="1">
      <alignment horizontal="left" vertical="top"/>
    </xf>
    <xf borderId="0" fillId="3" fontId="6" numFmtId="0" xfId="0" applyAlignment="1" applyFill="1" applyFont="1">
      <alignment horizontal="left" readingOrder="0" vertical="top"/>
    </xf>
    <xf borderId="0" fillId="8" fontId="6" numFmtId="0" xfId="0" applyAlignment="1" applyFill="1" applyFont="1">
      <alignment horizontal="left" vertical="top"/>
    </xf>
    <xf borderId="2" fillId="0" fontId="11" numFmtId="1" xfId="0" applyAlignment="1" applyBorder="1" applyFont="1" applyNumberFormat="1">
      <alignment horizontal="left" vertical="top"/>
    </xf>
    <xf borderId="2" fillId="0" fontId="10" numFmtId="0" xfId="0" applyAlignment="1" applyBorder="1" applyFont="1">
      <alignment horizontal="left" shrinkToFit="0" vertical="bottom" wrapText="1"/>
    </xf>
    <xf borderId="2" fillId="0" fontId="11" numFmtId="0" xfId="0" applyAlignment="1" applyBorder="1" applyFont="1">
      <alignment horizontal="left" readingOrder="0" shrinkToFit="0" vertical="top" wrapText="1"/>
    </xf>
    <xf borderId="2" fillId="0" fontId="11" numFmtId="0" xfId="0" applyAlignment="1" applyBorder="1" applyFont="1">
      <alignment horizontal="left" shrinkToFit="0" vertical="top" wrapText="1"/>
    </xf>
    <xf borderId="2" fillId="0" fontId="11" numFmtId="0" xfId="0" applyAlignment="1" applyBorder="1" applyFont="1">
      <alignment horizontal="left" vertical="top"/>
    </xf>
    <xf borderId="0" fillId="0" fontId="11" numFmtId="0" xfId="0" applyAlignment="1" applyFont="1">
      <alignment horizontal="left" shrinkToFit="0" vertical="top" wrapText="1"/>
    </xf>
    <xf borderId="4" fillId="0" fontId="12" numFmtId="1" xfId="0" applyAlignment="1" applyBorder="1" applyFont="1" applyNumberFormat="1">
      <alignment horizontal="right" readingOrder="0" shrinkToFit="1" vertical="center" wrapText="0"/>
    </xf>
    <xf borderId="2" fillId="0" fontId="12" numFmtId="0" xfId="0" applyAlignment="1" applyBorder="1" applyFont="1">
      <alignment horizontal="left" readingOrder="0" shrinkToFit="0" vertical="center" wrapText="1"/>
    </xf>
    <xf borderId="2" fillId="6" fontId="4" numFmtId="0" xfId="0" applyAlignment="1" applyBorder="1" applyFill="1" applyFont="1">
      <alignment horizontal="left" shrinkToFit="0" vertical="center" wrapText="1"/>
    </xf>
    <xf borderId="2" fillId="0" fontId="7" numFmtId="3" xfId="0" applyAlignment="1" applyBorder="1" applyFont="1" applyNumberFormat="1">
      <alignment horizontal="left" readingOrder="0" shrinkToFit="0" vertical="bottom" wrapText="1"/>
    </xf>
    <xf borderId="2" fillId="6" fontId="0" numFmtId="0" xfId="0" applyAlignment="1" applyBorder="1" applyFill="1" applyFont="1">
      <alignment horizontal="left" shrinkToFit="0" vertical="center" wrapText="1"/>
    </xf>
    <xf borderId="2" fillId="0" fontId="10" numFmtId="1" xfId="0" applyAlignment="1" applyBorder="1" applyFont="1" applyNumberFormat="1">
      <alignment horizontal="left" shrinkToFit="1" vertical="top" wrapText="0"/>
    </xf>
    <xf borderId="4" fillId="0" fontId="4" numFmtId="0" xfId="0" applyAlignment="1" applyBorder="1" applyFont="1">
      <alignment horizontal="center" shrinkToFit="0" vertical="center" wrapText="1"/>
    </xf>
    <xf borderId="1" fillId="6" fontId="7" numFmtId="0" xfId="0" applyAlignment="1" applyBorder="1" applyFill="1" applyFont="1">
      <alignment horizontal="left" shrinkToFit="0" vertical="bottom" wrapText="1"/>
    </xf>
    <xf borderId="4" fillId="0" fontId="3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top" wrapText="1"/>
    </xf>
    <xf borderId="13" fillId="0" fontId="7" numFmtId="0" xfId="0" applyAlignment="1" applyBorder="1" applyFont="1">
      <alignment horizontal="left" readingOrder="0" shrinkToFit="0" vertical="center" wrapText="1"/>
    </xf>
    <xf borderId="2" fillId="0" fontId="10" numFmtId="1" xfId="0" applyAlignment="1" applyBorder="1" applyFont="1" applyNumberFormat="1">
      <alignment horizontal="center" shrinkToFit="1" vertical="top" wrapText="0"/>
    </xf>
    <xf borderId="2" fillId="0" fontId="7" numFmtId="1" xfId="0" applyAlignment="1" applyBorder="1" applyFont="1" applyNumberFormat="1">
      <alignment horizontal="left" shrinkToFit="0" vertical="bottom" wrapText="1"/>
    </xf>
    <xf borderId="0" fillId="0" fontId="11" numFmtId="0" xfId="0" applyAlignment="1" applyFont="1">
      <alignment horizontal="center" vertical="top"/>
    </xf>
    <xf borderId="3" fillId="0" fontId="7" numFmtId="0" xfId="0" applyAlignment="1" applyBorder="1" applyFont="1">
      <alignment horizontal="left" readingOrder="0" shrinkToFit="0" vertical="bottom" wrapText="1"/>
    </xf>
    <xf borderId="0" fillId="0" fontId="6" numFmtId="1" xfId="0" applyAlignment="1" applyFont="1" applyNumberFormat="1">
      <alignment horizontal="left" vertical="top"/>
    </xf>
    <xf borderId="2" fillId="0" fontId="12" numFmtId="1" xfId="0" applyAlignment="1" applyBorder="1" applyFont="1" applyNumberFormat="1">
      <alignment horizontal="left" shrinkToFit="1" vertical="center" wrapText="0"/>
    </xf>
    <xf borderId="4" fillId="0" fontId="12" numFmtId="1" xfId="0" applyAlignment="1" applyBorder="1" applyFont="1" applyNumberFormat="1">
      <alignment horizontal="center" shrinkToFit="1" vertical="center" wrapText="0"/>
    </xf>
    <xf borderId="13" fillId="0" fontId="0" numFmtId="0" xfId="0" applyAlignment="1" applyBorder="1" applyFont="1">
      <alignment horizontal="left" readingOrder="0" shrinkToFit="0" vertical="center" wrapText="1"/>
    </xf>
    <xf borderId="6" fillId="0" fontId="0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top" wrapText="1"/>
    </xf>
    <xf borderId="2" fillId="0" fontId="7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left" vertical="top"/>
    </xf>
    <xf borderId="4" fillId="0" fontId="0" numFmtId="1" xfId="0" applyAlignment="1" applyBorder="1" applyFont="1" applyNumberFormat="1">
      <alignment horizontal="center" readingOrder="0" shrinkToFit="1" vertical="center" wrapText="0"/>
    </xf>
    <xf borderId="4" fillId="0" fontId="9" numFmtId="0" xfId="0" applyAlignment="1" applyBorder="1" applyFont="1">
      <alignment horizontal="left" readingOrder="0" shrinkToFit="0" vertical="center" wrapText="1"/>
    </xf>
    <xf borderId="4" fillId="0" fontId="0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left" readingOrder="0" shrinkToFit="0" vertical="center" wrapText="1"/>
    </xf>
    <xf borderId="10" fillId="0" fontId="0" numFmtId="0" xfId="0" applyAlignment="1" applyBorder="1" applyFont="1">
      <alignment horizontal="left" readingOrder="0" shrinkToFit="0" vertical="center" wrapText="1"/>
    </xf>
    <xf borderId="10" fillId="0" fontId="0" numFmtId="0" xfId="0" applyAlignment="1" applyBorder="1" applyFont="1">
      <alignment horizontal="left" shrinkToFit="0" vertical="center" wrapText="1"/>
    </xf>
    <xf borderId="2" fillId="0" fontId="12" numFmtId="1" xfId="0" applyAlignment="1" applyBorder="1" applyFont="1" applyNumberFormat="1">
      <alignment horizontal="center" readingOrder="0" shrinkToFit="1" vertical="center" wrapText="0"/>
    </xf>
    <xf borderId="2" fillId="0" fontId="12" numFmtId="1" xfId="0" applyAlignment="1" applyBorder="1" applyFont="1" applyNumberFormat="1">
      <alignment horizontal="center" shrinkToFit="1" vertical="center" wrapText="0"/>
    </xf>
    <xf borderId="0" fillId="9" fontId="6" numFmtId="0" xfId="0" applyAlignment="1" applyFill="1" applyFon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0" fillId="10" fontId="6" numFmtId="0" xfId="0" applyAlignment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49</xdr:row>
      <xdr:rowOff>9525</xdr:rowOff>
    </xdr:from>
    <xdr:ext cx="3619500" cy="4914900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15</xdr:row>
      <xdr:rowOff>85725</xdr:rowOff>
    </xdr:from>
    <xdr:ext cx="619125" cy="676275"/>
    <xdr:grpSp>
      <xdr:nvGrpSpPr>
        <xdr:cNvPr id="2" name="Shape 2" title="Drawing"/>
        <xdr:cNvGrpSpPr/>
      </xdr:nvGrpSpPr>
      <xdr:grpSpPr>
        <a:xfrm>
          <a:off x="2545325" y="1434500"/>
          <a:ext cx="1624800" cy="1803000"/>
          <a:chOff x="2545325" y="1434500"/>
          <a:chExt cx="1624800" cy="1803000"/>
        </a:xfrm>
      </xdr:grpSpPr>
      <xdr:cxnSp>
        <xdr:nvCxnSpPr>
          <xdr:cNvPr id="3" name="Shape 3"/>
          <xdr:cNvCxnSpPr/>
        </xdr:nvCxnSpPr>
        <xdr:spPr>
          <a:xfrm flipH="1">
            <a:off x="2545325" y="1434500"/>
            <a:ext cx="1624800" cy="1803000"/>
          </a:xfrm>
          <a:prstGeom prst="straightConnector1">
            <a:avLst/>
          </a:prstGeom>
          <a:noFill/>
          <a:ln cap="flat" cmpd="sng" w="76200">
            <a:solidFill>
              <a:srgbClr val="FF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1438275</xdr:colOff>
      <xdr:row>6</xdr:row>
      <xdr:rowOff>161925</xdr:rowOff>
    </xdr:from>
    <xdr:ext cx="4124325" cy="5591175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4876800" cy="6296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4876800" cy="6486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0</xdr:rowOff>
    </xdr:from>
    <xdr:ext cx="4876800" cy="64484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5.86"/>
    <col customWidth="1" min="3" max="3" width="12.0"/>
    <col customWidth="1" min="4" max="4" width="12.57"/>
    <col customWidth="1" min="5" max="5" width="17.29"/>
    <col customWidth="1" min="6" max="6" width="42.0"/>
    <col customWidth="1" min="7" max="7" width="8.71"/>
    <col customWidth="1" min="8" max="8" width="30.86"/>
    <col customWidth="1" min="9" max="10" width="8.71"/>
    <col customWidth="1" min="11" max="11" width="9.86"/>
    <col customWidth="1" min="12" max="13" width="8.71"/>
    <col customWidth="1" min="14" max="14" width="13.14"/>
    <col customWidth="1" min="15" max="24" width="8.71"/>
  </cols>
  <sheetData>
    <row r="1" ht="54.0" customHeight="1">
      <c r="A1" s="2" t="s">
        <v>2</v>
      </c>
    </row>
    <row r="2">
      <c r="A2" s="4" t="s">
        <v>5</v>
      </c>
      <c r="B2" s="5" t="s">
        <v>8</v>
      </c>
      <c r="C2" s="7" t="s">
        <v>11</v>
      </c>
      <c r="D2" s="7" t="s">
        <v>14</v>
      </c>
      <c r="E2" s="5" t="s">
        <v>16</v>
      </c>
      <c r="F2" s="5" t="s">
        <v>18</v>
      </c>
    </row>
    <row r="3">
      <c r="A3" s="8"/>
      <c r="B3" s="8"/>
      <c r="C3" s="7" t="s">
        <v>21</v>
      </c>
      <c r="D3" s="7" t="s">
        <v>24</v>
      </c>
      <c r="E3" s="8"/>
      <c r="F3" s="8"/>
      <c r="H3" s="9" t="s">
        <v>26</v>
      </c>
      <c r="Q3" s="15">
        <f>4450+1550</f>
        <v>6000</v>
      </c>
    </row>
    <row r="4">
      <c r="A4" s="17" t="s">
        <v>38</v>
      </c>
      <c r="B4" s="11"/>
      <c r="C4" s="11"/>
      <c r="D4" s="11"/>
      <c r="E4" s="11"/>
      <c r="F4" s="12"/>
    </row>
    <row r="5">
      <c r="A5" s="20">
        <v>1.0</v>
      </c>
      <c r="B5" s="22" t="s">
        <v>44</v>
      </c>
      <c r="C5" s="24">
        <v>1550.0</v>
      </c>
      <c r="D5" s="24">
        <v>1550.0</v>
      </c>
      <c r="E5" s="18" t="s">
        <v>41</v>
      </c>
      <c r="F5" s="30"/>
      <c r="I5" s="31" t="s">
        <v>56</v>
      </c>
      <c r="J5" s="31" t="s">
        <v>58</v>
      </c>
      <c r="K5" s="31" t="s">
        <v>59</v>
      </c>
      <c r="L5" s="31" t="s">
        <v>60</v>
      </c>
      <c r="M5" s="31" t="s">
        <v>61</v>
      </c>
    </row>
    <row r="6">
      <c r="A6" s="34">
        <v>2.0</v>
      </c>
      <c r="B6" s="22" t="s">
        <v>63</v>
      </c>
      <c r="C6" s="24">
        <v>20.0</v>
      </c>
      <c r="D6" s="24">
        <v>6.19</v>
      </c>
      <c r="E6" s="18" t="s">
        <v>41</v>
      </c>
      <c r="F6" s="24" t="s">
        <v>66</v>
      </c>
      <c r="I6" s="15">
        <v>4415.9400000000005</v>
      </c>
      <c r="J6" s="31">
        <v>200.0</v>
      </c>
      <c r="K6" s="15">
        <v>9711.86</v>
      </c>
      <c r="L6" s="15">
        <v>1925.0</v>
      </c>
      <c r="M6" s="15">
        <v>5120.0</v>
      </c>
      <c r="O6" s="31" t="s">
        <v>67</v>
      </c>
      <c r="P6" s="31" t="s">
        <v>69</v>
      </c>
    </row>
    <row r="7">
      <c r="A7" s="20">
        <v>3.0</v>
      </c>
      <c r="B7" s="22" t="s">
        <v>70</v>
      </c>
      <c r="C7" s="24">
        <v>300.0</v>
      </c>
      <c r="D7" s="24">
        <v>80.0</v>
      </c>
      <c r="E7" s="18" t="s">
        <v>48</v>
      </c>
      <c r="F7" s="24" t="s">
        <v>71</v>
      </c>
      <c r="H7" s="31" t="s">
        <v>73</v>
      </c>
      <c r="I7" s="15">
        <f>SUM(I5:M6)</f>
        <v>21372.8</v>
      </c>
      <c r="O7" s="31">
        <v>4450.0</v>
      </c>
      <c r="P7" s="31">
        <v>1550.0</v>
      </c>
      <c r="Q7" s="31">
        <v>100.0</v>
      </c>
      <c r="R7" s="31">
        <v>1000.0</v>
      </c>
    </row>
    <row r="8">
      <c r="A8" s="34">
        <v>4.0</v>
      </c>
      <c r="B8" s="22" t="s">
        <v>78</v>
      </c>
      <c r="C8" s="24">
        <v>40.0</v>
      </c>
      <c r="D8" s="24">
        <v>15.0</v>
      </c>
      <c r="E8" s="18" t="s">
        <v>41</v>
      </c>
      <c r="F8" s="30"/>
      <c r="H8" s="31" t="s">
        <v>80</v>
      </c>
      <c r="I8" s="38">
        <f>I7-O8</f>
        <v>14272.8</v>
      </c>
      <c r="N8" s="31" t="s">
        <v>85</v>
      </c>
      <c r="O8" s="15">
        <f>SUM(O7:R7)</f>
        <v>7100</v>
      </c>
    </row>
    <row r="9">
      <c r="A9" s="20">
        <v>5.0</v>
      </c>
      <c r="B9" s="22" t="s">
        <v>88</v>
      </c>
      <c r="C9" s="24">
        <v>30.0</v>
      </c>
      <c r="D9" s="24">
        <v>20.0</v>
      </c>
      <c r="E9" s="18" t="s">
        <v>41</v>
      </c>
      <c r="F9" s="30"/>
      <c r="H9" s="31"/>
      <c r="N9" s="31" t="s">
        <v>90</v>
      </c>
      <c r="O9" s="31">
        <v>13000.0</v>
      </c>
      <c r="P9" s="31" t="s">
        <v>92</v>
      </c>
    </row>
    <row r="10">
      <c r="A10" s="34">
        <v>6.0</v>
      </c>
      <c r="B10" s="22" t="s">
        <v>94</v>
      </c>
      <c r="C10" s="24">
        <v>20.0</v>
      </c>
      <c r="D10" s="24">
        <v>12.8</v>
      </c>
      <c r="E10" s="18" t="s">
        <v>41</v>
      </c>
      <c r="F10" s="30"/>
      <c r="H10" s="31"/>
      <c r="N10" s="31" t="s">
        <v>96</v>
      </c>
      <c r="O10" s="31">
        <v>3000.0</v>
      </c>
    </row>
    <row r="11">
      <c r="A11" s="20">
        <v>7.0</v>
      </c>
      <c r="B11" s="22" t="s">
        <v>97</v>
      </c>
      <c r="C11" s="24">
        <v>130.0</v>
      </c>
      <c r="D11" s="24">
        <v>40.0</v>
      </c>
      <c r="E11" s="18" t="s">
        <v>41</v>
      </c>
      <c r="F11" s="30"/>
    </row>
    <row r="12">
      <c r="A12" s="34">
        <v>8.0</v>
      </c>
      <c r="B12" s="22" t="s">
        <v>101</v>
      </c>
      <c r="C12" s="24">
        <v>20.0</v>
      </c>
      <c r="D12" s="24">
        <v>25.3</v>
      </c>
      <c r="E12" s="18" t="s">
        <v>41</v>
      </c>
      <c r="F12" s="30"/>
    </row>
    <row r="13">
      <c r="A13" s="20">
        <v>9.0</v>
      </c>
      <c r="B13" s="22" t="s">
        <v>108</v>
      </c>
      <c r="C13" s="24">
        <v>70.0</v>
      </c>
      <c r="D13" s="24">
        <v>54.56</v>
      </c>
      <c r="E13" s="18" t="s">
        <v>41</v>
      </c>
      <c r="F13" s="24" t="s">
        <v>43</v>
      </c>
      <c r="H13" s="40" t="s">
        <v>111</v>
      </c>
    </row>
    <row r="14">
      <c r="A14" s="34">
        <v>10.0</v>
      </c>
      <c r="B14" s="22" t="s">
        <v>114</v>
      </c>
      <c r="C14" s="24">
        <v>100.0</v>
      </c>
      <c r="D14" s="24">
        <v>84.0</v>
      </c>
      <c r="E14" s="18" t="s">
        <v>41</v>
      </c>
      <c r="F14" s="24" t="s">
        <v>43</v>
      </c>
      <c r="I14" s="31" t="s">
        <v>56</v>
      </c>
      <c r="J14" s="31" t="s">
        <v>58</v>
      </c>
      <c r="K14" s="31" t="s">
        <v>59</v>
      </c>
      <c r="L14" s="31" t="s">
        <v>60</v>
      </c>
      <c r="M14" s="31" t="s">
        <v>61</v>
      </c>
    </row>
    <row r="15">
      <c r="A15" s="20">
        <v>11.0</v>
      </c>
      <c r="B15" s="22" t="s">
        <v>117</v>
      </c>
      <c r="C15" s="24">
        <v>70.0</v>
      </c>
      <c r="D15" s="24">
        <v>89.34</v>
      </c>
      <c r="E15" s="18" t="s">
        <v>48</v>
      </c>
      <c r="F15" s="30"/>
      <c r="I15" s="31">
        <v>2160.63</v>
      </c>
      <c r="J15" s="31" t="s">
        <v>54</v>
      </c>
      <c r="K15" s="15">
        <v>3465.0</v>
      </c>
      <c r="L15" s="15">
        <v>9817.5</v>
      </c>
      <c r="M15" s="15">
        <v>2570.0</v>
      </c>
    </row>
    <row r="16">
      <c r="A16" s="34">
        <v>12.0</v>
      </c>
      <c r="B16" s="22" t="s">
        <v>123</v>
      </c>
      <c r="C16" s="24">
        <v>30.0</v>
      </c>
      <c r="D16" s="30"/>
      <c r="E16" s="18" t="s">
        <v>48</v>
      </c>
      <c r="F16" s="30"/>
    </row>
    <row r="17">
      <c r="A17" s="20">
        <v>13.0</v>
      </c>
      <c r="B17" s="41" t="s">
        <v>128</v>
      </c>
      <c r="C17" s="24">
        <v>40.0</v>
      </c>
      <c r="D17" s="24">
        <v>55.0</v>
      </c>
      <c r="E17" s="18" t="s">
        <v>41</v>
      </c>
      <c r="F17" s="24" t="s">
        <v>131</v>
      </c>
    </row>
    <row r="18">
      <c r="A18" s="34">
        <v>14.0</v>
      </c>
      <c r="B18" s="22" t="s">
        <v>132</v>
      </c>
      <c r="C18" s="24">
        <v>200.0</v>
      </c>
      <c r="D18" s="24">
        <v>250.0</v>
      </c>
      <c r="E18" s="18" t="s">
        <v>48</v>
      </c>
      <c r="F18" s="24" t="s">
        <v>134</v>
      </c>
      <c r="H18" s="31" t="s">
        <v>73</v>
      </c>
      <c r="I18" s="44">
        <f>SUM(I15:M17)</f>
        <v>18013.13</v>
      </c>
    </row>
    <row r="19">
      <c r="A19" s="20">
        <v>15.0</v>
      </c>
      <c r="B19" s="22" t="s">
        <v>57</v>
      </c>
      <c r="C19" s="24">
        <v>600.0</v>
      </c>
      <c r="D19" s="24">
        <v>500.0</v>
      </c>
      <c r="E19" s="18" t="s">
        <v>48</v>
      </c>
      <c r="F19" s="24" t="s">
        <v>139</v>
      </c>
    </row>
    <row r="20">
      <c r="A20" s="34">
        <v>16.0</v>
      </c>
      <c r="B20" s="22" t="s">
        <v>140</v>
      </c>
      <c r="C20" s="24" t="s">
        <v>54</v>
      </c>
      <c r="D20" s="24" t="s">
        <v>54</v>
      </c>
      <c r="E20" s="18" t="s">
        <v>41</v>
      </c>
      <c r="F20" s="30"/>
    </row>
    <row r="21">
      <c r="A21" s="20">
        <v>17.0</v>
      </c>
      <c r="B21" s="41" t="s">
        <v>147</v>
      </c>
      <c r="C21" s="24">
        <v>500.0</v>
      </c>
      <c r="D21" s="30"/>
      <c r="E21" s="18" t="s">
        <v>48</v>
      </c>
      <c r="F21" s="30"/>
      <c r="J21" s="31" t="s">
        <v>151</v>
      </c>
      <c r="L21" s="31" t="s">
        <v>152</v>
      </c>
    </row>
    <row r="22">
      <c r="A22" s="34">
        <v>18.0</v>
      </c>
      <c r="B22" s="41" t="s">
        <v>155</v>
      </c>
      <c r="C22" s="24">
        <v>20.0</v>
      </c>
      <c r="D22" s="24">
        <v>20.0</v>
      </c>
      <c r="E22" s="18" t="s">
        <v>48</v>
      </c>
      <c r="F22" s="30"/>
      <c r="H22" s="45" t="s">
        <v>159</v>
      </c>
      <c r="I22" s="31">
        <v>1400.0</v>
      </c>
      <c r="J22" s="31">
        <v>11200.0</v>
      </c>
      <c r="L22" s="46">
        <f>J22-I8</f>
        <v>-3072.8</v>
      </c>
    </row>
    <row r="23">
      <c r="A23" s="20">
        <v>19.0</v>
      </c>
      <c r="B23" s="22" t="s">
        <v>163</v>
      </c>
      <c r="C23" s="24">
        <v>700.0</v>
      </c>
      <c r="D23" s="24">
        <v>700.0</v>
      </c>
      <c r="E23" s="18" t="s">
        <v>48</v>
      </c>
      <c r="F23" s="24" t="s">
        <v>167</v>
      </c>
      <c r="H23" s="40"/>
      <c r="I23" s="31"/>
      <c r="J23" s="31"/>
      <c r="L23" s="46"/>
    </row>
    <row r="24">
      <c r="A24" s="47">
        <v>20.0</v>
      </c>
      <c r="B24" s="49" t="s">
        <v>170</v>
      </c>
      <c r="C24" s="50">
        <v>150.0</v>
      </c>
      <c r="D24" s="51"/>
      <c r="E24" s="52" t="s">
        <v>48</v>
      </c>
      <c r="F24" s="51"/>
      <c r="H24" s="40"/>
      <c r="I24" s="31"/>
      <c r="J24" s="31"/>
      <c r="L24" s="46"/>
    </row>
    <row r="25">
      <c r="A25" s="34"/>
      <c r="B25" s="22"/>
      <c r="C25" s="24"/>
      <c r="D25" s="24"/>
      <c r="E25" s="18"/>
      <c r="F25" s="24"/>
      <c r="H25" s="40" t="s">
        <v>181</v>
      </c>
      <c r="I25" s="31">
        <v>2000.0</v>
      </c>
      <c r="J25" s="31">
        <v>16000.0</v>
      </c>
      <c r="L25" s="46">
        <f>J25-I18</f>
        <v>-2013.13</v>
      </c>
    </row>
    <row r="26">
      <c r="A26" s="53" t="s">
        <v>73</v>
      </c>
      <c r="B26" s="12"/>
      <c r="C26" s="54">
        <f>sum(C5:C25)</f>
        <v>4590</v>
      </c>
      <c r="D26" s="30"/>
      <c r="E26" s="18"/>
      <c r="F26" s="30"/>
    </row>
    <row r="27">
      <c r="A27" s="55" t="s">
        <v>189</v>
      </c>
      <c r="B27" s="55" t="s">
        <v>191</v>
      </c>
      <c r="C27" s="57"/>
      <c r="D27" s="57"/>
      <c r="E27" s="57"/>
      <c r="F27" s="57"/>
    </row>
    <row r="28">
      <c r="A28" s="20">
        <v>1.0</v>
      </c>
      <c r="B28" s="22" t="s">
        <v>195</v>
      </c>
      <c r="C28" s="24">
        <f> 35 +1550</f>
        <v>1585</v>
      </c>
      <c r="D28" s="24">
        <f> 40 +1550</f>
        <v>1590</v>
      </c>
      <c r="E28" s="18" t="s">
        <v>48</v>
      </c>
      <c r="F28" s="30"/>
    </row>
    <row r="29">
      <c r="A29" s="20">
        <v>2.0</v>
      </c>
      <c r="B29" s="22" t="s">
        <v>202</v>
      </c>
      <c r="C29" s="24">
        <f t="shared" ref="C29:C30" si="1">28 +40</f>
        <v>68</v>
      </c>
      <c r="D29" s="24">
        <f t="shared" ref="D29:D30" si="2">20 +40</f>
        <v>60</v>
      </c>
      <c r="E29" s="18" t="s">
        <v>48</v>
      </c>
      <c r="F29" s="30"/>
    </row>
    <row r="30">
      <c r="A30" s="20">
        <v>3.0</v>
      </c>
      <c r="B30" s="22" t="s">
        <v>206</v>
      </c>
      <c r="C30" s="24">
        <f t="shared" si="1"/>
        <v>68</v>
      </c>
      <c r="D30" s="24">
        <f t="shared" si="2"/>
        <v>60</v>
      </c>
      <c r="E30" s="18" t="s">
        <v>48</v>
      </c>
      <c r="F30" s="30"/>
    </row>
    <row r="31">
      <c r="A31" s="53" t="s">
        <v>73</v>
      </c>
      <c r="B31" s="12"/>
      <c r="C31" s="54">
        <f t="shared" ref="C31:D31" si="3">sum(C28:C30)</f>
        <v>1721</v>
      </c>
      <c r="D31" s="54">
        <f t="shared" si="3"/>
        <v>1710</v>
      </c>
      <c r="E31" s="18"/>
      <c r="F31" s="30"/>
      <c r="H31" s="31" t="s">
        <v>137</v>
      </c>
      <c r="I31" s="15">
        <f>D31+D5+D6+D6+D13+350+D14+D17+D18+350</f>
        <v>4415.94</v>
      </c>
    </row>
    <row r="32">
      <c r="A32" s="55" t="s">
        <v>227</v>
      </c>
      <c r="B32" s="55" t="s">
        <v>229</v>
      </c>
      <c r="C32" s="57"/>
      <c r="D32" s="57"/>
      <c r="E32" s="57"/>
      <c r="F32" s="57"/>
      <c r="H32" s="31" t="s">
        <v>148</v>
      </c>
      <c r="I32" s="15">
        <f>sum(C7:C12,C15:C16,C19,C21:C22,C38)+350</f>
        <v>2397</v>
      </c>
    </row>
    <row r="33">
      <c r="A33" s="20">
        <v>1.0</v>
      </c>
      <c r="B33" s="22" t="s">
        <v>242</v>
      </c>
      <c r="C33" s="24">
        <f>27</f>
        <v>27</v>
      </c>
      <c r="D33" s="24">
        <v>27.0</v>
      </c>
      <c r="E33" s="18" t="s">
        <v>41</v>
      </c>
      <c r="F33" s="30"/>
      <c r="H33" s="31" t="s">
        <v>73</v>
      </c>
      <c r="I33" s="15">
        <f>sum(I31:I32)</f>
        <v>6812.94</v>
      </c>
    </row>
    <row r="34">
      <c r="A34" s="20">
        <v>2.0</v>
      </c>
      <c r="B34" s="22" t="s">
        <v>247</v>
      </c>
      <c r="C34" s="24">
        <f> 40</f>
        <v>40</v>
      </c>
      <c r="D34" s="30"/>
      <c r="E34" s="18" t="s">
        <v>48</v>
      </c>
      <c r="F34" s="30"/>
      <c r="M34" s="31" t="s">
        <v>252</v>
      </c>
    </row>
    <row r="35">
      <c r="A35" s="20">
        <v>3.0</v>
      </c>
      <c r="B35" s="22" t="s">
        <v>253</v>
      </c>
      <c r="C35" s="24">
        <f> 50</f>
        <v>50</v>
      </c>
      <c r="D35" s="30"/>
      <c r="E35" s="18" t="s">
        <v>48</v>
      </c>
      <c r="F35" s="30"/>
      <c r="M35" s="31" t="s">
        <v>256</v>
      </c>
    </row>
    <row r="36">
      <c r="A36" s="20">
        <v>4.0</v>
      </c>
      <c r="B36" s="22" t="s">
        <v>259</v>
      </c>
      <c r="C36" s="24">
        <f>20</f>
        <v>20</v>
      </c>
      <c r="D36" s="24">
        <v>20.0</v>
      </c>
      <c r="E36" s="18" t="s">
        <v>41</v>
      </c>
      <c r="F36" s="30"/>
      <c r="M36" s="31" t="s">
        <v>263</v>
      </c>
    </row>
    <row r="37">
      <c r="A37" s="20">
        <v>5.0</v>
      </c>
      <c r="B37" s="22" t="s">
        <v>266</v>
      </c>
      <c r="C37" s="24">
        <f>150</f>
        <v>150</v>
      </c>
      <c r="D37" s="24">
        <v>150.0</v>
      </c>
      <c r="E37" s="18" t="s">
        <v>48</v>
      </c>
      <c r="F37" s="30"/>
      <c r="M37" s="31" t="s">
        <v>269</v>
      </c>
    </row>
    <row r="38">
      <c r="A38" s="53" t="s">
        <v>73</v>
      </c>
      <c r="B38" s="12"/>
      <c r="C38" s="54">
        <f>SUM(C33:C37)</f>
        <v>287</v>
      </c>
      <c r="D38" s="30"/>
      <c r="E38" s="18" t="s">
        <v>48</v>
      </c>
      <c r="F38" s="30"/>
      <c r="M38" s="31" t="s">
        <v>274</v>
      </c>
    </row>
    <row r="39">
      <c r="A39" s="59" t="s">
        <v>276</v>
      </c>
      <c r="B39" s="12"/>
      <c r="C39" s="69">
        <f>SUM(C38+C31+C26)-1550</f>
        <v>5048</v>
      </c>
      <c r="D39" s="70"/>
      <c r="E39" s="71"/>
      <c r="F39" s="72"/>
    </row>
    <row r="40">
      <c r="M40" s="31" t="s">
        <v>290</v>
      </c>
    </row>
    <row r="41">
      <c r="A41" s="4" t="s">
        <v>292</v>
      </c>
      <c r="B41" s="5" t="s">
        <v>296</v>
      </c>
      <c r="C41" s="7" t="s">
        <v>298</v>
      </c>
      <c r="D41" s="7" t="s">
        <v>301</v>
      </c>
      <c r="E41" s="5" t="s">
        <v>302</v>
      </c>
      <c r="F41" s="5" t="s">
        <v>305</v>
      </c>
    </row>
    <row r="42">
      <c r="A42" s="8"/>
      <c r="B42" s="8"/>
      <c r="C42" s="7" t="s">
        <v>307</v>
      </c>
      <c r="D42" s="7" t="s">
        <v>309</v>
      </c>
      <c r="E42" s="8"/>
      <c r="F42" s="8"/>
    </row>
    <row r="43">
      <c r="A43" s="17" t="s">
        <v>312</v>
      </c>
      <c r="B43" s="11"/>
      <c r="C43" s="11"/>
      <c r="D43" s="11"/>
      <c r="E43" s="11"/>
      <c r="F43" s="75"/>
    </row>
    <row r="44">
      <c r="A44" s="76">
        <v>1.0</v>
      </c>
      <c r="B44" s="77" t="s">
        <v>315</v>
      </c>
      <c r="C44" s="78">
        <v>60.0</v>
      </c>
      <c r="D44" s="78"/>
      <c r="E44" s="18" t="s">
        <v>48</v>
      </c>
      <c r="F44" s="78"/>
    </row>
    <row r="45">
      <c r="A45" s="76">
        <v>2.0</v>
      </c>
      <c r="B45" s="77" t="s">
        <v>318</v>
      </c>
      <c r="C45" s="78"/>
      <c r="D45" s="78"/>
      <c r="E45" s="18" t="s">
        <v>48</v>
      </c>
      <c r="F45" s="78"/>
    </row>
    <row r="46">
      <c r="A46" s="76">
        <v>3.0</v>
      </c>
      <c r="B46" s="77" t="s">
        <v>319</v>
      </c>
      <c r="C46" s="78" t="s">
        <v>321</v>
      </c>
      <c r="D46" s="78"/>
      <c r="E46" s="18" t="s">
        <v>41</v>
      </c>
      <c r="F46" s="78"/>
    </row>
    <row r="47">
      <c r="A47" s="76">
        <v>4.0</v>
      </c>
      <c r="B47" s="77" t="s">
        <v>323</v>
      </c>
      <c r="C47" s="78" t="s">
        <v>321</v>
      </c>
      <c r="D47" s="78"/>
      <c r="E47" s="18" t="s">
        <v>41</v>
      </c>
      <c r="F47" s="78"/>
    </row>
    <row r="48">
      <c r="A48" s="76">
        <v>5.0</v>
      </c>
      <c r="B48" s="22" t="s">
        <v>325</v>
      </c>
      <c r="C48" s="24">
        <v>120.0</v>
      </c>
      <c r="D48" s="24">
        <v>100.0</v>
      </c>
      <c r="E48" s="18" t="s">
        <v>41</v>
      </c>
      <c r="F48" s="24"/>
    </row>
    <row r="49">
      <c r="A49" s="76">
        <v>6.0</v>
      </c>
      <c r="B49" s="22" t="s">
        <v>329</v>
      </c>
      <c r="C49" s="24">
        <v>70.0</v>
      </c>
      <c r="D49" s="24">
        <v>70.0</v>
      </c>
      <c r="E49" s="18" t="s">
        <v>41</v>
      </c>
      <c r="F49" s="78"/>
    </row>
    <row r="50">
      <c r="A50" s="76">
        <v>7.0</v>
      </c>
      <c r="B50" s="22" t="s">
        <v>331</v>
      </c>
      <c r="C50" s="24">
        <v>50.0</v>
      </c>
      <c r="D50" s="24">
        <v>1.0</v>
      </c>
      <c r="E50" s="18" t="s">
        <v>48</v>
      </c>
      <c r="F50" s="81" t="s">
        <v>333</v>
      </c>
    </row>
    <row r="51">
      <c r="A51" s="76">
        <v>8.0</v>
      </c>
      <c r="B51" s="22" t="s">
        <v>335</v>
      </c>
      <c r="C51" s="24">
        <v>50.0</v>
      </c>
      <c r="D51" s="30"/>
      <c r="E51" s="18" t="s">
        <v>48</v>
      </c>
      <c r="F51" s="81"/>
    </row>
    <row r="52">
      <c r="A52" s="76"/>
      <c r="B52" s="22" t="s">
        <v>337</v>
      </c>
      <c r="C52" s="24">
        <v>20.0</v>
      </c>
      <c r="D52" s="30"/>
      <c r="E52" s="18" t="s">
        <v>48</v>
      </c>
      <c r="F52" s="81"/>
    </row>
    <row r="53">
      <c r="A53" s="76">
        <v>9.0</v>
      </c>
      <c r="B53" s="41" t="s">
        <v>340</v>
      </c>
      <c r="C53" s="24">
        <v>20.0</v>
      </c>
      <c r="D53" s="30"/>
      <c r="E53" s="18" t="s">
        <v>48</v>
      </c>
      <c r="F53" s="82"/>
    </row>
    <row r="54">
      <c r="A54" s="76"/>
      <c r="B54" s="22" t="s">
        <v>341</v>
      </c>
      <c r="C54" s="24">
        <v>40.0</v>
      </c>
      <c r="D54" s="30"/>
      <c r="E54" s="18" t="s">
        <v>48</v>
      </c>
      <c r="F54" s="82"/>
    </row>
    <row r="55">
      <c r="A55" s="76">
        <v>10.0</v>
      </c>
      <c r="B55" s="22" t="s">
        <v>342</v>
      </c>
      <c r="C55" s="24">
        <v>40.0</v>
      </c>
      <c r="D55" s="30"/>
      <c r="E55" s="18" t="s">
        <v>48</v>
      </c>
      <c r="F55" s="82"/>
    </row>
    <row r="56">
      <c r="A56" s="76">
        <v>11.0</v>
      </c>
      <c r="B56" s="41" t="s">
        <v>343</v>
      </c>
      <c r="C56" s="24">
        <v>13000.0</v>
      </c>
      <c r="D56" s="30"/>
      <c r="E56" s="18" t="s">
        <v>48</v>
      </c>
      <c r="F56" s="82"/>
    </row>
    <row r="57">
      <c r="A57" s="76">
        <v>12.0</v>
      </c>
      <c r="B57" s="41" t="s">
        <v>344</v>
      </c>
      <c r="C57" s="30"/>
      <c r="D57" s="30"/>
      <c r="E57" s="18" t="s">
        <v>48</v>
      </c>
      <c r="F57" s="82"/>
    </row>
    <row r="58">
      <c r="A58" s="76">
        <v>13.0</v>
      </c>
      <c r="B58" s="22" t="s">
        <v>345</v>
      </c>
      <c r="C58" s="24">
        <v>4565.0</v>
      </c>
      <c r="D58" s="30"/>
      <c r="E58" s="18" t="s">
        <v>48</v>
      </c>
      <c r="F58" s="82"/>
    </row>
    <row r="59">
      <c r="A59" s="76">
        <v>14.0</v>
      </c>
      <c r="B59" s="22" t="s">
        <v>346</v>
      </c>
      <c r="C59" s="30"/>
      <c r="D59" s="30"/>
      <c r="E59" s="18" t="s">
        <v>48</v>
      </c>
      <c r="F59" s="82"/>
    </row>
    <row r="60">
      <c r="A60" s="76">
        <v>15.0</v>
      </c>
      <c r="B60" s="22" t="s">
        <v>347</v>
      </c>
      <c r="C60" s="30"/>
      <c r="D60" s="30"/>
      <c r="E60" s="18" t="s">
        <v>48</v>
      </c>
      <c r="F60" s="82"/>
    </row>
    <row r="61">
      <c r="A61" s="76">
        <v>16.0</v>
      </c>
      <c r="B61" s="22" t="s">
        <v>348</v>
      </c>
      <c r="C61" s="30"/>
      <c r="D61" s="30"/>
      <c r="E61" s="18" t="s">
        <v>48</v>
      </c>
      <c r="F61" s="82"/>
    </row>
    <row r="62">
      <c r="A62" s="76">
        <v>17.0</v>
      </c>
      <c r="B62" s="22" t="s">
        <v>349</v>
      </c>
      <c r="C62" s="30"/>
      <c r="D62" s="30"/>
      <c r="E62" s="18" t="s">
        <v>48</v>
      </c>
      <c r="F62" s="82"/>
    </row>
    <row r="63">
      <c r="A63" s="59" t="s">
        <v>350</v>
      </c>
      <c r="B63" s="12"/>
      <c r="C63" s="83">
        <v>500.0</v>
      </c>
      <c r="D63" s="84"/>
      <c r="E63" s="84"/>
      <c r="F63" s="82"/>
    </row>
    <row r="67">
      <c r="B67" s="31" t="s">
        <v>351</v>
      </c>
    </row>
    <row r="68">
      <c r="B68" s="31" t="s">
        <v>352</v>
      </c>
    </row>
    <row r="69">
      <c r="B69" s="31" t="s">
        <v>353</v>
      </c>
    </row>
    <row r="70">
      <c r="B70" s="31" t="s">
        <v>354</v>
      </c>
    </row>
    <row r="71">
      <c r="B71" s="31" t="s">
        <v>355</v>
      </c>
    </row>
    <row r="72">
      <c r="B72" s="31" t="s">
        <v>356</v>
      </c>
      <c r="C72" s="31" t="s">
        <v>357</v>
      </c>
    </row>
    <row r="73">
      <c r="B73" s="31" t="s">
        <v>358</v>
      </c>
    </row>
    <row r="74">
      <c r="B74" s="31" t="s">
        <v>359</v>
      </c>
    </row>
    <row r="75">
      <c r="B75" s="31" t="s">
        <v>360</v>
      </c>
    </row>
    <row r="76">
      <c r="B76" s="31" t="s">
        <v>361</v>
      </c>
    </row>
    <row r="77">
      <c r="B77" s="31" t="s">
        <v>362</v>
      </c>
    </row>
  </sheetData>
  <mergeCells count="16">
    <mergeCell ref="A1:F1"/>
    <mergeCell ref="A2:A3"/>
    <mergeCell ref="B2:B3"/>
    <mergeCell ref="E2:E3"/>
    <mergeCell ref="F2:F3"/>
    <mergeCell ref="A4:F4"/>
    <mergeCell ref="A26:B26"/>
    <mergeCell ref="B41:B42"/>
    <mergeCell ref="A63:B63"/>
    <mergeCell ref="A31:B31"/>
    <mergeCell ref="A38:B38"/>
    <mergeCell ref="A39:B39"/>
    <mergeCell ref="A41:A42"/>
    <mergeCell ref="E41:E42"/>
    <mergeCell ref="F41:F42"/>
    <mergeCell ref="A43:F43"/>
  </mergeCells>
  <dataValidations>
    <dataValidation type="list" allowBlank="1" showErrorMessage="1" sqref="E5:E24 E28:E30 E33:E38 E44:E62">
      <formula1>"Completed,Not Yet"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51.29"/>
    <col customWidth="1" min="3" max="4" width="12.71"/>
    <col customWidth="1" min="5" max="5" width="20.57"/>
    <col customWidth="1" min="6" max="6" width="23.29"/>
    <col customWidth="1" min="7" max="7" width="8.71"/>
    <col customWidth="1" min="8" max="8" width="21.57"/>
    <col customWidth="1" min="9" max="9" width="35.29"/>
    <col customWidth="1" min="10" max="10" width="14.43"/>
    <col customWidth="1" min="11" max="11" width="12.43"/>
    <col customWidth="1" min="12" max="12" width="15.71"/>
    <col customWidth="1" min="13" max="13" width="14.57"/>
    <col customWidth="1" min="14" max="26" width="8.71"/>
  </cols>
  <sheetData>
    <row r="1" ht="63.0" customHeight="1">
      <c r="A1" s="1" t="s">
        <v>3</v>
      </c>
    </row>
    <row r="2" ht="15.0" customHeight="1">
      <c r="A2" s="3" t="s">
        <v>4</v>
      </c>
      <c r="B2" s="3" t="s">
        <v>7</v>
      </c>
      <c r="C2" s="6" t="s">
        <v>9</v>
      </c>
      <c r="D2" s="6" t="s">
        <v>13</v>
      </c>
      <c r="E2" s="3" t="s">
        <v>15</v>
      </c>
      <c r="F2" s="3" t="s">
        <v>19</v>
      </c>
    </row>
    <row r="3" ht="15.0" customHeight="1">
      <c r="A3" s="8"/>
      <c r="B3" s="8"/>
      <c r="C3" s="6" t="s">
        <v>23</v>
      </c>
      <c r="D3" s="6" t="s">
        <v>25</v>
      </c>
      <c r="E3" s="8"/>
      <c r="F3" s="8"/>
    </row>
    <row r="4">
      <c r="A4" s="10" t="s">
        <v>28</v>
      </c>
      <c r="B4" s="11"/>
      <c r="C4" s="11"/>
      <c r="D4" s="11"/>
      <c r="E4" s="11"/>
      <c r="F4" s="12"/>
    </row>
    <row r="5" ht="15.0" customHeight="1">
      <c r="A5" s="13">
        <v>1.0</v>
      </c>
      <c r="B5" s="14" t="s">
        <v>32</v>
      </c>
      <c r="C5" s="16" t="s">
        <v>35</v>
      </c>
      <c r="D5" s="16" t="s">
        <v>35</v>
      </c>
      <c r="E5" s="18" t="s">
        <v>41</v>
      </c>
      <c r="F5" s="16" t="s">
        <v>43</v>
      </c>
    </row>
    <row r="6" ht="15.0" customHeight="1">
      <c r="A6" s="13">
        <v>2.0</v>
      </c>
      <c r="B6" s="14" t="s">
        <v>46</v>
      </c>
      <c r="C6" s="16">
        <v>150.0</v>
      </c>
      <c r="D6" s="16">
        <v>150.0</v>
      </c>
      <c r="E6" s="18" t="s">
        <v>48</v>
      </c>
      <c r="F6" s="26"/>
    </row>
    <row r="7" ht="15.0" customHeight="1">
      <c r="A7" s="13">
        <v>3.0</v>
      </c>
      <c r="B7" s="28" t="s">
        <v>52</v>
      </c>
      <c r="C7" s="16">
        <v>40.0</v>
      </c>
      <c r="D7" s="16">
        <v>40.0</v>
      </c>
      <c r="E7" s="18" t="s">
        <v>48</v>
      </c>
      <c r="F7" s="26"/>
    </row>
    <row r="8" ht="15.0" customHeight="1">
      <c r="A8" s="13">
        <v>4.0</v>
      </c>
      <c r="B8" s="28" t="s">
        <v>53</v>
      </c>
      <c r="C8" s="16" t="s">
        <v>54</v>
      </c>
      <c r="D8" s="16" t="s">
        <v>55</v>
      </c>
      <c r="E8" s="18" t="s">
        <v>41</v>
      </c>
      <c r="F8" s="26"/>
    </row>
    <row r="9" ht="15.0" customHeight="1">
      <c r="A9" s="33">
        <v>5.0</v>
      </c>
      <c r="B9" s="28" t="s">
        <v>62</v>
      </c>
      <c r="C9" s="16">
        <v>200.0</v>
      </c>
      <c r="D9" s="16">
        <v>147.0</v>
      </c>
      <c r="E9" s="18" t="s">
        <v>41</v>
      </c>
      <c r="F9" s="26"/>
    </row>
    <row r="10" ht="15.0" customHeight="1">
      <c r="A10" s="36" t="s">
        <v>65</v>
      </c>
      <c r="B10" s="12"/>
      <c r="C10" s="16">
        <f t="shared" ref="C10:D10" si="1">SUM(C5:C9)</f>
        <v>390</v>
      </c>
      <c r="D10" s="16">
        <f t="shared" si="1"/>
        <v>337</v>
      </c>
      <c r="E10" s="26"/>
      <c r="F10" s="26"/>
    </row>
    <row r="11" ht="15.0" customHeight="1">
      <c r="A11" s="25" t="s">
        <v>81</v>
      </c>
      <c r="B11" s="37" t="s">
        <v>83</v>
      </c>
      <c r="C11" s="39"/>
      <c r="D11" s="39"/>
      <c r="E11" s="39"/>
      <c r="F11" s="39"/>
    </row>
    <row r="12" ht="15.0" customHeight="1">
      <c r="A12" s="13">
        <v>1.0</v>
      </c>
      <c r="B12" s="14" t="s">
        <v>89</v>
      </c>
      <c r="C12" s="16" t="s">
        <v>54</v>
      </c>
      <c r="D12" s="16" t="s">
        <v>54</v>
      </c>
      <c r="E12" s="18" t="s">
        <v>48</v>
      </c>
      <c r="F12" s="26"/>
    </row>
    <row r="13" ht="15.0" customHeight="1">
      <c r="A13" s="13">
        <v>2.0</v>
      </c>
      <c r="B13" s="28" t="s">
        <v>95</v>
      </c>
      <c r="C13" s="16">
        <f t="shared" ref="C13:D13" si="2">4450+296 + 40</f>
        <v>4786</v>
      </c>
      <c r="D13" s="16">
        <f t="shared" si="2"/>
        <v>4786</v>
      </c>
      <c r="E13" s="18" t="s">
        <v>41</v>
      </c>
      <c r="F13" s="26"/>
    </row>
    <row r="14" ht="15.0" customHeight="1">
      <c r="A14" s="13">
        <v>3.0</v>
      </c>
      <c r="B14" s="28" t="s">
        <v>102</v>
      </c>
      <c r="C14" s="16">
        <f t="shared" ref="C14:D14" si="3">250+40</f>
        <v>290</v>
      </c>
      <c r="D14" s="16">
        <f t="shared" si="3"/>
        <v>290</v>
      </c>
      <c r="E14" s="18" t="s">
        <v>48</v>
      </c>
      <c r="F14" s="26"/>
      <c r="H14" s="15">
        <f>40*5</f>
        <v>200</v>
      </c>
    </row>
    <row r="15" ht="15.0" customHeight="1">
      <c r="A15" s="13">
        <v>4.0</v>
      </c>
      <c r="B15" s="28" t="s">
        <v>110</v>
      </c>
      <c r="C15" s="16">
        <f t="shared" ref="C15:D15" si="4">32.93 + 40</f>
        <v>72.93</v>
      </c>
      <c r="D15" s="16">
        <f t="shared" si="4"/>
        <v>72.93</v>
      </c>
      <c r="E15" s="18" t="s">
        <v>41</v>
      </c>
      <c r="F15" s="26"/>
    </row>
    <row r="16" ht="15.0" customHeight="1">
      <c r="A16" s="13">
        <v>5.0</v>
      </c>
      <c r="B16" s="28" t="s">
        <v>119</v>
      </c>
      <c r="C16" s="16">
        <f t="shared" ref="C16:D16" si="5">32.93 + 40</f>
        <v>72.93</v>
      </c>
      <c r="D16" s="16">
        <f t="shared" si="5"/>
        <v>72.93</v>
      </c>
      <c r="E16" s="18" t="s">
        <v>41</v>
      </c>
      <c r="F16" s="26"/>
    </row>
    <row r="17" ht="15.0" customHeight="1">
      <c r="A17" s="13"/>
      <c r="B17" s="28" t="s">
        <v>121</v>
      </c>
      <c r="C17" s="16">
        <f t="shared" ref="C17:D17" si="6"> 150+40</f>
        <v>190</v>
      </c>
      <c r="D17" s="16">
        <f t="shared" si="6"/>
        <v>190</v>
      </c>
      <c r="E17" s="18" t="s">
        <v>41</v>
      </c>
      <c r="F17" s="26"/>
    </row>
    <row r="18" ht="15.0" customHeight="1">
      <c r="A18" s="36" t="s">
        <v>73</v>
      </c>
      <c r="B18" s="12"/>
      <c r="C18" s="42">
        <f>SUM(C12:C17)</f>
        <v>5411.86</v>
      </c>
      <c r="D18" s="26">
        <f>SUM(D13:D17)</f>
        <v>5411.86</v>
      </c>
      <c r="E18" s="26"/>
      <c r="F18" s="26"/>
    </row>
    <row r="19" ht="15.0" customHeight="1">
      <c r="A19" s="43"/>
      <c r="B19" s="37" t="s">
        <v>136</v>
      </c>
      <c r="C19" s="39"/>
      <c r="D19" s="39"/>
      <c r="E19" s="39"/>
      <c r="F19" s="39"/>
    </row>
    <row r="20" ht="15.0" customHeight="1">
      <c r="A20" s="13">
        <v>1.0</v>
      </c>
      <c r="B20" s="14" t="s">
        <v>141</v>
      </c>
      <c r="C20" s="16" t="s">
        <v>142</v>
      </c>
      <c r="D20" s="26"/>
      <c r="E20" s="18" t="s">
        <v>48</v>
      </c>
      <c r="F20" s="26"/>
    </row>
    <row r="21" ht="15.0" customHeight="1">
      <c r="A21" s="13">
        <v>2.0</v>
      </c>
      <c r="B21" s="28" t="s">
        <v>146</v>
      </c>
      <c r="C21" s="16">
        <v>40.0</v>
      </c>
      <c r="D21" s="26"/>
      <c r="E21" s="18" t="s">
        <v>48</v>
      </c>
      <c r="F21" s="26"/>
    </row>
    <row r="22" ht="15.0" customHeight="1">
      <c r="A22" s="13">
        <v>3.0</v>
      </c>
      <c r="B22" s="28" t="s">
        <v>150</v>
      </c>
      <c r="C22" s="16" t="s">
        <v>153</v>
      </c>
      <c r="D22" s="26"/>
      <c r="E22" s="18" t="s">
        <v>48</v>
      </c>
      <c r="F22" s="26"/>
    </row>
    <row r="23" ht="15.0" customHeight="1">
      <c r="A23" s="13">
        <v>4.0</v>
      </c>
      <c r="B23" s="28" t="s">
        <v>156</v>
      </c>
      <c r="C23" s="16" t="s">
        <v>157</v>
      </c>
      <c r="D23" s="26"/>
      <c r="E23" s="18" t="s">
        <v>48</v>
      </c>
      <c r="F23" s="26"/>
    </row>
    <row r="24" ht="15.0" customHeight="1">
      <c r="A24" s="13">
        <v>5.0</v>
      </c>
      <c r="B24" s="28" t="s">
        <v>160</v>
      </c>
      <c r="C24" s="16" t="s">
        <v>157</v>
      </c>
      <c r="D24" s="26"/>
      <c r="E24" s="18" t="s">
        <v>48</v>
      </c>
      <c r="F24" s="26"/>
    </row>
    <row r="25" ht="15.0" customHeight="1">
      <c r="A25" s="13">
        <v>6.0</v>
      </c>
      <c r="B25" s="28" t="s">
        <v>161</v>
      </c>
      <c r="C25" s="16" t="s">
        <v>162</v>
      </c>
      <c r="D25" s="26"/>
      <c r="E25" s="18" t="s">
        <v>48</v>
      </c>
      <c r="F25" s="26"/>
    </row>
    <row r="26" ht="15.0" customHeight="1">
      <c r="A26" s="13">
        <v>7.0</v>
      </c>
      <c r="B26" s="28" t="s">
        <v>164</v>
      </c>
      <c r="C26" s="16">
        <f>120+40</f>
        <v>160</v>
      </c>
      <c r="D26" s="26"/>
      <c r="E26" s="18" t="s">
        <v>48</v>
      </c>
      <c r="F26" s="26"/>
    </row>
    <row r="27" ht="15.0" customHeight="1">
      <c r="A27" s="13">
        <v>8.0</v>
      </c>
      <c r="B27" s="28" t="s">
        <v>169</v>
      </c>
      <c r="C27" s="16">
        <f>60+40</f>
        <v>100</v>
      </c>
      <c r="D27" s="26"/>
      <c r="E27" s="18" t="s">
        <v>48</v>
      </c>
      <c r="F27" s="26"/>
    </row>
    <row r="28" ht="15.0" customHeight="1">
      <c r="A28" s="36" t="s">
        <v>73</v>
      </c>
      <c r="B28" s="12"/>
      <c r="C28" s="48">
        <f>SUM(C21:C27)+350</f>
        <v>650</v>
      </c>
      <c r="D28" s="42">
        <v>650.0</v>
      </c>
      <c r="E28" s="26"/>
      <c r="F28" s="26"/>
    </row>
    <row r="29" ht="15.0" customHeight="1">
      <c r="A29" s="25" t="s">
        <v>177</v>
      </c>
      <c r="B29" s="37" t="s">
        <v>179</v>
      </c>
      <c r="C29" s="39"/>
      <c r="D29" s="39"/>
      <c r="E29" s="39"/>
      <c r="F29" s="39"/>
    </row>
    <row r="30" ht="15.0" customHeight="1">
      <c r="A30" s="13">
        <v>1.0</v>
      </c>
      <c r="B30" s="28" t="s">
        <v>57</v>
      </c>
      <c r="C30" s="16">
        <v>950.0</v>
      </c>
      <c r="D30" s="16">
        <v>950.0</v>
      </c>
      <c r="E30" s="18" t="s">
        <v>48</v>
      </c>
      <c r="F30" s="26"/>
    </row>
    <row r="31" ht="15.0" customHeight="1">
      <c r="A31" s="33">
        <v>2.0</v>
      </c>
      <c r="B31" s="28" t="s">
        <v>144</v>
      </c>
      <c r="C31" s="16">
        <v>300.0</v>
      </c>
      <c r="D31" s="16">
        <v>300.0</v>
      </c>
      <c r="E31" s="18" t="s">
        <v>48</v>
      </c>
      <c r="F31" s="26"/>
    </row>
    <row r="32" ht="15.0" customHeight="1">
      <c r="A32" s="13">
        <v>3.0</v>
      </c>
      <c r="B32" s="14" t="s">
        <v>184</v>
      </c>
      <c r="C32" s="16" t="s">
        <v>54</v>
      </c>
      <c r="D32" s="16" t="s">
        <v>54</v>
      </c>
      <c r="E32" s="18" t="s">
        <v>48</v>
      </c>
      <c r="F32" s="26"/>
    </row>
    <row r="33" ht="15.0" customHeight="1">
      <c r="A33" s="33">
        <v>4.0</v>
      </c>
      <c r="B33" s="14" t="s">
        <v>185</v>
      </c>
      <c r="C33" s="16">
        <v>20.0</v>
      </c>
      <c r="D33" s="16">
        <v>20.0</v>
      </c>
      <c r="E33" s="18" t="s">
        <v>48</v>
      </c>
      <c r="F33" s="26"/>
    </row>
    <row r="34" ht="15.0" customHeight="1">
      <c r="A34" s="13">
        <v>5.0</v>
      </c>
      <c r="B34" s="14" t="s">
        <v>187</v>
      </c>
      <c r="C34" s="16">
        <v>100.0</v>
      </c>
      <c r="D34" s="16">
        <v>100.0</v>
      </c>
      <c r="E34" s="18" t="s">
        <v>48</v>
      </c>
      <c r="F34" s="26"/>
    </row>
    <row r="35" ht="15.0" customHeight="1">
      <c r="A35" s="25" t="s">
        <v>190</v>
      </c>
      <c r="B35" s="37" t="s">
        <v>192</v>
      </c>
      <c r="C35" s="39"/>
      <c r="D35" s="39"/>
      <c r="E35" s="39"/>
      <c r="F35" s="39"/>
    </row>
    <row r="36" ht="15.0" customHeight="1">
      <c r="A36" s="13">
        <v>1.0</v>
      </c>
      <c r="B36" s="28" t="s">
        <v>193</v>
      </c>
      <c r="C36" s="16">
        <v>350.0</v>
      </c>
      <c r="D36" s="16">
        <v>70.0</v>
      </c>
      <c r="E36" s="18" t="s">
        <v>48</v>
      </c>
      <c r="F36" s="16" t="s">
        <v>196</v>
      </c>
    </row>
    <row r="37" ht="15.0" customHeight="1">
      <c r="A37" s="13">
        <v>2.0</v>
      </c>
      <c r="B37" s="14" t="s">
        <v>198</v>
      </c>
      <c r="C37" s="16" t="s">
        <v>54</v>
      </c>
      <c r="D37" s="16" t="s">
        <v>54</v>
      </c>
      <c r="E37" s="18" t="s">
        <v>41</v>
      </c>
      <c r="F37" s="26"/>
    </row>
    <row r="38" ht="15.0" customHeight="1">
      <c r="A38" s="33">
        <v>3.0</v>
      </c>
      <c r="B38" s="28" t="s">
        <v>201</v>
      </c>
      <c r="C38" s="16">
        <v>200.0</v>
      </c>
      <c r="D38" s="16">
        <v>200.0</v>
      </c>
      <c r="E38" s="18" t="s">
        <v>41</v>
      </c>
      <c r="F38" s="16"/>
    </row>
    <row r="39" ht="15.0" customHeight="1">
      <c r="A39" s="13">
        <v>4.0</v>
      </c>
      <c r="B39" s="14" t="s">
        <v>203</v>
      </c>
      <c r="C39" s="16">
        <v>10.0</v>
      </c>
      <c r="D39" s="16">
        <v>10.0</v>
      </c>
      <c r="E39" s="18" t="s">
        <v>48</v>
      </c>
      <c r="F39" s="26"/>
    </row>
    <row r="40" ht="15.0" customHeight="1">
      <c r="A40" s="33">
        <v>5.0</v>
      </c>
      <c r="B40" s="14" t="s">
        <v>204</v>
      </c>
      <c r="C40" s="16" t="s">
        <v>54</v>
      </c>
      <c r="D40" s="16" t="s">
        <v>54</v>
      </c>
      <c r="E40" s="18" t="s">
        <v>48</v>
      </c>
      <c r="F40" s="26"/>
    </row>
    <row r="41" ht="15.0" customHeight="1">
      <c r="A41" s="13">
        <v>6.0</v>
      </c>
      <c r="B41" s="14" t="s">
        <v>207</v>
      </c>
      <c r="C41" s="16" t="s">
        <v>54</v>
      </c>
      <c r="D41" s="16" t="s">
        <v>54</v>
      </c>
      <c r="E41" s="18" t="s">
        <v>41</v>
      </c>
      <c r="F41" s="16" t="s">
        <v>209</v>
      </c>
    </row>
    <row r="42" ht="15.0" customHeight="1">
      <c r="A42" s="33">
        <v>7.0</v>
      </c>
      <c r="B42" s="14" t="s">
        <v>211</v>
      </c>
      <c r="C42" s="16" t="s">
        <v>54</v>
      </c>
      <c r="D42" s="16" t="s">
        <v>54</v>
      </c>
      <c r="E42" s="18" t="s">
        <v>41</v>
      </c>
      <c r="F42" s="26"/>
    </row>
    <row r="43" ht="15.0" customHeight="1">
      <c r="A43" s="25" t="s">
        <v>213</v>
      </c>
      <c r="B43" s="37" t="s">
        <v>214</v>
      </c>
      <c r="C43" s="39"/>
      <c r="D43" s="39"/>
      <c r="E43" s="39"/>
      <c r="F43" s="39"/>
    </row>
    <row r="44" ht="15.0" customHeight="1">
      <c r="A44" s="13">
        <v>1.0</v>
      </c>
      <c r="B44" s="14" t="s">
        <v>216</v>
      </c>
      <c r="C44" s="16">
        <v>350.0</v>
      </c>
      <c r="D44" s="16">
        <v>180.0</v>
      </c>
      <c r="E44" s="18" t="s">
        <v>48</v>
      </c>
      <c r="F44" s="16" t="s">
        <v>217</v>
      </c>
    </row>
    <row r="45" ht="15.0" customHeight="1">
      <c r="A45" s="13">
        <v>2.0</v>
      </c>
      <c r="B45" s="14" t="s">
        <v>219</v>
      </c>
      <c r="C45" s="16">
        <v>50.0</v>
      </c>
      <c r="D45" s="16">
        <v>50.0</v>
      </c>
      <c r="E45" s="18" t="s">
        <v>48</v>
      </c>
      <c r="F45" s="26"/>
    </row>
    <row r="46" ht="15.0" customHeight="1">
      <c r="A46" s="13">
        <v>3.0</v>
      </c>
      <c r="B46" s="14" t="s">
        <v>220</v>
      </c>
      <c r="C46" s="16">
        <v>20.0</v>
      </c>
      <c r="D46" s="16">
        <v>20.0</v>
      </c>
      <c r="E46" s="18" t="s">
        <v>48</v>
      </c>
      <c r="F46" s="26"/>
    </row>
    <row r="47" ht="15.0" customHeight="1">
      <c r="A47" s="13">
        <v>5.0</v>
      </c>
      <c r="B47" s="14" t="s">
        <v>223</v>
      </c>
      <c r="C47" s="16">
        <v>5.0</v>
      </c>
      <c r="D47" s="16">
        <v>5.0</v>
      </c>
      <c r="E47" s="18" t="s">
        <v>48</v>
      </c>
      <c r="F47" s="26"/>
      <c r="H47" s="31" t="s">
        <v>149</v>
      </c>
    </row>
    <row r="48" ht="15.0" customHeight="1">
      <c r="A48" s="13">
        <v>6.0</v>
      </c>
      <c r="B48" s="14" t="s">
        <v>225</v>
      </c>
      <c r="C48" s="16">
        <v>230.0</v>
      </c>
      <c r="D48" s="16">
        <v>230.0</v>
      </c>
      <c r="E48" s="18" t="s">
        <v>48</v>
      </c>
      <c r="F48" s="26"/>
      <c r="H48" s="31" t="s">
        <v>137</v>
      </c>
      <c r="I48" s="15">
        <f>sum(C12:C17)+C10+sum(C36:C39)+750+2800</f>
        <v>9911.86</v>
      </c>
      <c r="J48" s="31" t="s">
        <v>231</v>
      </c>
      <c r="L48" s="15">
        <f>I48-D18</f>
        <v>4500</v>
      </c>
    </row>
    <row r="49" ht="15.0" customHeight="1">
      <c r="A49" s="25" t="s">
        <v>234</v>
      </c>
      <c r="B49" s="37" t="s">
        <v>236</v>
      </c>
      <c r="C49" s="39"/>
      <c r="D49" s="39"/>
      <c r="E49" s="39"/>
      <c r="F49" s="39"/>
      <c r="H49" s="31" t="s">
        <v>148</v>
      </c>
      <c r="I49" s="15">
        <f>C28+sum(C30:C34)+sum(C44:C52)+750+C55</f>
        <v>3965</v>
      </c>
    </row>
    <row r="50" ht="15.0" customHeight="1">
      <c r="A50" s="13">
        <v>1.0</v>
      </c>
      <c r="B50" s="14" t="s">
        <v>241</v>
      </c>
      <c r="C50" s="16" t="s">
        <v>54</v>
      </c>
      <c r="D50" s="16" t="s">
        <v>54</v>
      </c>
      <c r="E50" s="18" t="s">
        <v>41</v>
      </c>
      <c r="F50" s="26"/>
    </row>
    <row r="51" ht="15.0" customHeight="1">
      <c r="A51" s="13">
        <v>2.0</v>
      </c>
      <c r="B51" s="14" t="s">
        <v>244</v>
      </c>
      <c r="C51" s="16" t="s">
        <v>54</v>
      </c>
      <c r="D51" s="16" t="s">
        <v>54</v>
      </c>
      <c r="E51" s="18" t="s">
        <v>41</v>
      </c>
      <c r="F51" s="26"/>
    </row>
    <row r="52" ht="15.0" customHeight="1">
      <c r="A52" s="13">
        <v>3.0</v>
      </c>
      <c r="B52" s="14" t="s">
        <v>246</v>
      </c>
      <c r="C52" s="16">
        <v>500.0</v>
      </c>
      <c r="D52" s="16">
        <v>500.0</v>
      </c>
      <c r="E52" s="18" t="s">
        <v>48</v>
      </c>
      <c r="F52" s="26"/>
      <c r="H52" s="31" t="s">
        <v>175</v>
      </c>
    </row>
    <row r="53" ht="15.0" customHeight="1">
      <c r="A53" s="13"/>
      <c r="B53" s="28" t="s">
        <v>249</v>
      </c>
      <c r="C53" s="16">
        <v>1500.0</v>
      </c>
      <c r="D53" s="16">
        <v>1500.0</v>
      </c>
      <c r="E53" s="18" t="s">
        <v>41</v>
      </c>
      <c r="F53" s="26"/>
      <c r="H53" s="31" t="s">
        <v>137</v>
      </c>
      <c r="I53" s="15">
        <f>sum(D18)+D10+sum(D36:D42)+750+2800</f>
        <v>9578.86</v>
      </c>
      <c r="J53" s="31" t="s">
        <v>231</v>
      </c>
      <c r="L53" s="15">
        <f>I53-D18</f>
        <v>4167</v>
      </c>
    </row>
    <row r="54" ht="15.0" customHeight="1">
      <c r="A54" s="25" t="s">
        <v>258</v>
      </c>
      <c r="B54" s="37" t="s">
        <v>260</v>
      </c>
      <c r="C54" s="39"/>
      <c r="D54" s="39"/>
      <c r="E54" s="39"/>
      <c r="F54" s="39"/>
      <c r="H54" s="31" t="s">
        <v>148</v>
      </c>
      <c r="I54" s="15">
        <f>D28+sum(D30:D34)+sum(D44:D52)+750+D55</f>
        <v>3795</v>
      </c>
    </row>
    <row r="55" ht="15.0" customHeight="1">
      <c r="A55" s="13">
        <v>1.0</v>
      </c>
      <c r="B55" s="14" t="s">
        <v>267</v>
      </c>
      <c r="C55" s="16">
        <v>40.0</v>
      </c>
      <c r="D55" s="16">
        <v>40.0</v>
      </c>
      <c r="E55" s="18" t="s">
        <v>41</v>
      </c>
      <c r="F55" s="26"/>
    </row>
    <row r="56" ht="15.0" customHeight="1">
      <c r="A56" s="13">
        <v>2.0</v>
      </c>
      <c r="B56" s="14" t="s">
        <v>272</v>
      </c>
      <c r="C56" s="16" t="s">
        <v>54</v>
      </c>
      <c r="D56" s="16" t="s">
        <v>54</v>
      </c>
      <c r="E56" s="18" t="s">
        <v>41</v>
      </c>
      <c r="F56" s="26"/>
    </row>
    <row r="57" ht="15.0" customHeight="1">
      <c r="A57" s="36" t="s">
        <v>73</v>
      </c>
      <c r="B57" s="12"/>
      <c r="C57" s="58">
        <f>sum(C29:C55)</f>
        <v>4625</v>
      </c>
      <c r="D57" s="26"/>
      <c r="E57" s="26"/>
      <c r="F57" s="26"/>
    </row>
    <row r="58" ht="15.0" customHeight="1">
      <c r="A58" s="61" t="s">
        <v>279</v>
      </c>
      <c r="B58" s="12"/>
      <c r="C58" s="64">
        <f>SUM(C57+C28+C18+C10)</f>
        <v>11076.86</v>
      </c>
      <c r="D58" s="64"/>
      <c r="E58" s="64"/>
      <c r="F58" s="65"/>
    </row>
    <row r="59" ht="12.75" customHeight="1">
      <c r="A59" s="66"/>
    </row>
    <row r="60" ht="12.75" customHeight="1">
      <c r="A60" s="66"/>
    </row>
    <row r="61" ht="12.75" customHeight="1">
      <c r="A61" s="66"/>
      <c r="D61" s="31" t="s">
        <v>282</v>
      </c>
    </row>
    <row r="62" ht="12.75" customHeight="1">
      <c r="A62" s="66"/>
      <c r="D62" s="68">
        <f>C58-I48</f>
        <v>1165</v>
      </c>
    </row>
    <row r="63" ht="12.75" customHeight="1">
      <c r="A63" s="66"/>
    </row>
    <row r="64" ht="12.75" customHeight="1">
      <c r="A64" s="66"/>
    </row>
    <row r="65" ht="12.75" customHeight="1">
      <c r="A65" s="66"/>
    </row>
    <row r="66" ht="12.75" customHeight="1">
      <c r="A66" s="66"/>
    </row>
    <row r="67" ht="12.75" customHeight="1">
      <c r="A67" s="66"/>
    </row>
    <row r="68" ht="12.75" customHeight="1">
      <c r="A68" s="66"/>
    </row>
    <row r="69" ht="12.75" customHeight="1">
      <c r="A69" s="66"/>
    </row>
    <row r="70" ht="12.75" customHeight="1">
      <c r="A70" s="66"/>
      <c r="D70" s="31" t="s">
        <v>289</v>
      </c>
    </row>
    <row r="71" ht="12.75" customHeight="1">
      <c r="A71" s="66"/>
    </row>
    <row r="72" ht="12.75" customHeight="1">
      <c r="A72" s="66"/>
    </row>
    <row r="73" ht="12.75" customHeight="1">
      <c r="A73" s="66"/>
    </row>
    <row r="74" ht="12.75" customHeight="1">
      <c r="A74" s="66"/>
    </row>
    <row r="75" ht="12.75" customHeight="1">
      <c r="A75" s="66"/>
    </row>
    <row r="76" ht="12.75" customHeight="1">
      <c r="A76" s="66"/>
    </row>
    <row r="77" ht="12.75" customHeight="1">
      <c r="A77" s="66"/>
    </row>
    <row r="78" ht="12.75" customHeight="1">
      <c r="A78" s="66"/>
    </row>
    <row r="79" ht="12.75" customHeight="1">
      <c r="A79" s="66"/>
    </row>
    <row r="80" ht="12.75" customHeight="1">
      <c r="A80" s="66"/>
    </row>
    <row r="81" ht="12.75" customHeight="1">
      <c r="A81" s="66"/>
    </row>
    <row r="82" ht="12.75" customHeight="1">
      <c r="A82" s="66"/>
    </row>
    <row r="83" ht="12.75" customHeight="1">
      <c r="A83" s="66"/>
    </row>
    <row r="84" ht="12.75" customHeight="1">
      <c r="A84" s="66"/>
    </row>
    <row r="85" ht="12.75" customHeight="1">
      <c r="A85" s="66"/>
    </row>
    <row r="86" ht="12.75" customHeight="1">
      <c r="A86" s="66"/>
    </row>
    <row r="87" ht="12.75" customHeight="1">
      <c r="A87" s="66"/>
    </row>
    <row r="88" ht="12.75" customHeight="1">
      <c r="A88" s="66"/>
    </row>
    <row r="89" ht="12.75" customHeight="1">
      <c r="A89" s="66"/>
    </row>
    <row r="90" ht="12.75" customHeight="1">
      <c r="A90" s="66"/>
    </row>
    <row r="91" ht="12.75" customHeight="1">
      <c r="A91" s="66"/>
    </row>
    <row r="92" ht="12.75" customHeight="1">
      <c r="A92" s="66"/>
    </row>
    <row r="93" ht="12.75" customHeight="1">
      <c r="A93" s="66"/>
    </row>
    <row r="94" ht="12.75" customHeight="1">
      <c r="A94" s="66"/>
    </row>
    <row r="95" ht="12.75" customHeight="1">
      <c r="A95" s="66"/>
    </row>
    <row r="96" ht="12.75" customHeight="1">
      <c r="A96" s="66"/>
    </row>
    <row r="97" ht="12.75" customHeight="1">
      <c r="A97" s="66"/>
    </row>
    <row r="98" ht="12.75" customHeight="1">
      <c r="A98" s="66"/>
    </row>
    <row r="99" ht="12.75" customHeight="1">
      <c r="A99" s="66"/>
    </row>
    <row r="100" ht="12.75" customHeight="1">
      <c r="A100" s="66"/>
    </row>
    <row r="101" ht="12.75" customHeight="1">
      <c r="A101" s="66"/>
    </row>
    <row r="102" ht="12.75" customHeight="1">
      <c r="A102" s="66"/>
    </row>
    <row r="103" ht="12.75" customHeight="1">
      <c r="A103" s="66"/>
    </row>
    <row r="104" ht="12.75" customHeight="1">
      <c r="A104" s="66"/>
    </row>
    <row r="105" ht="12.75" customHeight="1">
      <c r="A105" s="66"/>
    </row>
    <row r="106" ht="12.75" customHeight="1">
      <c r="A106" s="66"/>
    </row>
    <row r="107" ht="12.75" customHeight="1">
      <c r="A107" s="66"/>
    </row>
    <row r="108" ht="12.75" customHeight="1">
      <c r="A108" s="66"/>
    </row>
    <row r="109" ht="12.75" customHeight="1">
      <c r="A109" s="66"/>
    </row>
    <row r="110" ht="12.75" customHeight="1">
      <c r="A110" s="66"/>
    </row>
    <row r="111" ht="12.75" customHeight="1">
      <c r="A111" s="66"/>
    </row>
    <row r="112" ht="12.75" customHeight="1">
      <c r="A112" s="66"/>
    </row>
    <row r="113" ht="12.75" customHeight="1">
      <c r="A113" s="66"/>
    </row>
    <row r="114" ht="12.75" customHeight="1">
      <c r="A114" s="66"/>
    </row>
    <row r="115" ht="12.75" customHeight="1">
      <c r="A115" s="66"/>
    </row>
    <row r="116" ht="12.75" customHeight="1">
      <c r="A116" s="66"/>
    </row>
    <row r="117" ht="12.75" customHeight="1">
      <c r="A117" s="66"/>
    </row>
    <row r="118" ht="12.75" customHeight="1">
      <c r="A118" s="66"/>
    </row>
    <row r="119" ht="12.75" customHeight="1">
      <c r="A119" s="66"/>
    </row>
    <row r="120" ht="12.75" customHeight="1">
      <c r="A120" s="66"/>
    </row>
    <row r="121" ht="12.75" customHeight="1">
      <c r="A121" s="66"/>
    </row>
    <row r="122" ht="12.75" customHeight="1">
      <c r="A122" s="66"/>
    </row>
    <row r="123" ht="12.75" customHeight="1">
      <c r="A123" s="66"/>
    </row>
    <row r="124" ht="12.75" customHeight="1">
      <c r="A124" s="66"/>
    </row>
    <row r="125" ht="12.75" customHeight="1">
      <c r="A125" s="66"/>
    </row>
    <row r="126" ht="12.75" customHeight="1">
      <c r="A126" s="66"/>
    </row>
    <row r="127" ht="12.75" customHeight="1">
      <c r="A127" s="66"/>
    </row>
    <row r="128" ht="12.75" customHeight="1">
      <c r="A128" s="66"/>
    </row>
    <row r="129" ht="12.75" customHeight="1">
      <c r="A129" s="66"/>
    </row>
    <row r="130" ht="12.75" customHeight="1">
      <c r="A130" s="66"/>
    </row>
    <row r="131" ht="12.75" customHeight="1">
      <c r="A131" s="66"/>
    </row>
    <row r="132" ht="12.75" customHeight="1">
      <c r="A132" s="66"/>
    </row>
    <row r="133" ht="12.75" customHeight="1">
      <c r="A133" s="66"/>
    </row>
    <row r="134" ht="12.75" customHeight="1">
      <c r="A134" s="66"/>
    </row>
    <row r="135" ht="12.75" customHeight="1">
      <c r="A135" s="66"/>
    </row>
    <row r="136" ht="12.75" customHeight="1">
      <c r="A136" s="66"/>
    </row>
    <row r="137" ht="12.75" customHeight="1">
      <c r="A137" s="66"/>
    </row>
    <row r="138" ht="12.75" customHeight="1">
      <c r="A138" s="66"/>
    </row>
    <row r="139" ht="12.75" customHeight="1">
      <c r="A139" s="66"/>
    </row>
    <row r="140" ht="12.75" customHeight="1">
      <c r="A140" s="66"/>
    </row>
    <row r="141" ht="12.75" customHeight="1">
      <c r="A141" s="66"/>
    </row>
    <row r="142" ht="12.75" customHeight="1">
      <c r="A142" s="66"/>
    </row>
    <row r="143" ht="12.75" customHeight="1">
      <c r="A143" s="66"/>
    </row>
    <row r="144" ht="12.75" customHeight="1">
      <c r="A144" s="66"/>
    </row>
    <row r="145" ht="12.75" customHeight="1">
      <c r="A145" s="66"/>
    </row>
    <row r="146" ht="12.75" customHeight="1">
      <c r="A146" s="66"/>
    </row>
    <row r="147" ht="12.75" customHeight="1">
      <c r="A147" s="66"/>
    </row>
    <row r="148" ht="12.75" customHeight="1">
      <c r="A148" s="66"/>
    </row>
    <row r="149" ht="12.75" customHeight="1">
      <c r="A149" s="66"/>
    </row>
    <row r="150" ht="12.75" customHeight="1">
      <c r="A150" s="66"/>
    </row>
    <row r="151" ht="12.75" customHeight="1">
      <c r="A151" s="66"/>
    </row>
    <row r="152" ht="12.75" customHeight="1">
      <c r="A152" s="66"/>
    </row>
    <row r="153" ht="12.75" customHeight="1">
      <c r="A153" s="66"/>
    </row>
    <row r="154" ht="12.75" customHeight="1">
      <c r="A154" s="66"/>
    </row>
    <row r="155" ht="12.75" customHeight="1">
      <c r="A155" s="66"/>
    </row>
    <row r="156" ht="12.75" customHeight="1">
      <c r="A156" s="66"/>
    </row>
    <row r="157" ht="12.75" customHeight="1">
      <c r="A157" s="66"/>
    </row>
    <row r="158" ht="12.75" customHeight="1">
      <c r="A158" s="66"/>
    </row>
    <row r="159" ht="12.75" customHeight="1">
      <c r="A159" s="66"/>
    </row>
    <row r="160" ht="12.75" customHeight="1">
      <c r="A160" s="66"/>
    </row>
    <row r="161" ht="12.75" customHeight="1">
      <c r="A161" s="66"/>
    </row>
    <row r="162" ht="12.75" customHeight="1">
      <c r="A162" s="66"/>
    </row>
    <row r="163" ht="12.75" customHeight="1">
      <c r="A163" s="66"/>
    </row>
    <row r="164" ht="12.75" customHeight="1">
      <c r="A164" s="66"/>
    </row>
    <row r="165" ht="12.75" customHeight="1">
      <c r="A165" s="66"/>
    </row>
    <row r="166" ht="12.75" customHeight="1">
      <c r="A166" s="66"/>
    </row>
    <row r="167" ht="12.75" customHeight="1">
      <c r="A167" s="66"/>
    </row>
    <row r="168" ht="12.75" customHeight="1">
      <c r="A168" s="66"/>
    </row>
    <row r="169" ht="12.75" customHeight="1">
      <c r="A169" s="66"/>
    </row>
    <row r="170" ht="12.75" customHeight="1">
      <c r="A170" s="66"/>
    </row>
    <row r="171" ht="12.75" customHeight="1">
      <c r="A171" s="66"/>
    </row>
    <row r="172" ht="12.75" customHeight="1">
      <c r="A172" s="66"/>
    </row>
    <row r="173" ht="12.75" customHeight="1">
      <c r="A173" s="66"/>
    </row>
    <row r="174" ht="12.75" customHeight="1">
      <c r="A174" s="66"/>
    </row>
    <row r="175" ht="12.75" customHeight="1">
      <c r="A175" s="66"/>
    </row>
    <row r="176" ht="12.75" customHeight="1">
      <c r="A176" s="66"/>
    </row>
    <row r="177" ht="12.75" customHeight="1">
      <c r="A177" s="66"/>
    </row>
    <row r="178" ht="12.75" customHeight="1">
      <c r="A178" s="66"/>
    </row>
    <row r="179" ht="12.75" customHeight="1">
      <c r="A179" s="66"/>
    </row>
    <row r="180" ht="12.75" customHeight="1">
      <c r="A180" s="66"/>
    </row>
    <row r="181" ht="12.75" customHeight="1">
      <c r="A181" s="66"/>
    </row>
    <row r="182" ht="12.75" customHeight="1">
      <c r="A182" s="66"/>
    </row>
    <row r="183" ht="12.75" customHeight="1">
      <c r="A183" s="66"/>
    </row>
    <row r="184" ht="12.75" customHeight="1">
      <c r="A184" s="66"/>
    </row>
    <row r="185" ht="12.75" customHeight="1">
      <c r="A185" s="66"/>
    </row>
    <row r="186" ht="12.75" customHeight="1">
      <c r="A186" s="66"/>
    </row>
    <row r="187" ht="12.75" customHeight="1">
      <c r="A187" s="66"/>
    </row>
    <row r="188" ht="12.75" customHeight="1">
      <c r="A188" s="66"/>
    </row>
    <row r="189" ht="12.75" customHeight="1">
      <c r="A189" s="66"/>
    </row>
    <row r="190" ht="12.75" customHeight="1">
      <c r="A190" s="66"/>
    </row>
    <row r="191" ht="12.75" customHeight="1">
      <c r="A191" s="66"/>
    </row>
    <row r="192" ht="12.75" customHeight="1">
      <c r="A192" s="66"/>
    </row>
    <row r="193" ht="12.75" customHeight="1">
      <c r="A193" s="66"/>
    </row>
    <row r="194" ht="12.75" customHeight="1">
      <c r="A194" s="66"/>
    </row>
    <row r="195" ht="12.75" customHeight="1">
      <c r="A195" s="66"/>
    </row>
    <row r="196" ht="12.75" customHeight="1">
      <c r="A196" s="66"/>
    </row>
    <row r="197" ht="12.75" customHeight="1">
      <c r="A197" s="66"/>
    </row>
    <row r="198" ht="12.75" customHeight="1">
      <c r="A198" s="66"/>
    </row>
    <row r="199" ht="12.75" customHeight="1">
      <c r="A199" s="66"/>
    </row>
    <row r="200" ht="12.75" customHeight="1">
      <c r="A200" s="66"/>
    </row>
    <row r="201" ht="12.75" customHeight="1">
      <c r="A201" s="66"/>
    </row>
    <row r="202" ht="12.75" customHeight="1">
      <c r="A202" s="66"/>
    </row>
    <row r="203" ht="12.75" customHeight="1">
      <c r="A203" s="66"/>
    </row>
    <row r="204" ht="12.75" customHeight="1">
      <c r="A204" s="66"/>
    </row>
    <row r="205" ht="12.75" customHeight="1">
      <c r="A205" s="66"/>
    </row>
    <row r="206" ht="12.75" customHeight="1">
      <c r="A206" s="66"/>
    </row>
    <row r="207" ht="12.75" customHeight="1">
      <c r="A207" s="66"/>
    </row>
    <row r="208" ht="12.75" customHeight="1">
      <c r="A208" s="66"/>
    </row>
    <row r="209" ht="12.75" customHeight="1">
      <c r="A209" s="66"/>
    </row>
    <row r="210" ht="12.75" customHeight="1">
      <c r="A210" s="66"/>
    </row>
    <row r="211" ht="12.75" customHeight="1">
      <c r="A211" s="66"/>
    </row>
    <row r="212" ht="12.75" customHeight="1">
      <c r="A212" s="66"/>
    </row>
    <row r="213" ht="12.75" customHeight="1">
      <c r="A213" s="66"/>
    </row>
    <row r="214" ht="12.75" customHeight="1">
      <c r="A214" s="66"/>
    </row>
    <row r="215" ht="12.75" customHeight="1">
      <c r="A215" s="66"/>
    </row>
    <row r="216" ht="12.75" customHeight="1">
      <c r="A216" s="66"/>
    </row>
    <row r="217" ht="12.75" customHeight="1">
      <c r="A217" s="66"/>
    </row>
    <row r="218" ht="12.75" customHeight="1">
      <c r="A218" s="66"/>
    </row>
    <row r="219" ht="12.75" customHeight="1">
      <c r="A219" s="66"/>
    </row>
    <row r="220" ht="12.75" customHeight="1">
      <c r="A220" s="66"/>
    </row>
    <row r="221" ht="12.75" customHeight="1">
      <c r="A221" s="66"/>
    </row>
    <row r="222" ht="12.75" customHeight="1">
      <c r="A222" s="66"/>
    </row>
    <row r="223" ht="12.75" customHeight="1">
      <c r="A223" s="66"/>
    </row>
    <row r="224" ht="12.75" customHeight="1">
      <c r="A224" s="66"/>
    </row>
    <row r="225" ht="12.75" customHeight="1">
      <c r="A225" s="66"/>
    </row>
    <row r="226" ht="12.75" customHeight="1">
      <c r="A226" s="66"/>
    </row>
    <row r="227" ht="12.75" customHeight="1">
      <c r="A227" s="66"/>
    </row>
    <row r="228" ht="12.75" customHeight="1">
      <c r="A228" s="66"/>
    </row>
    <row r="229" ht="12.75" customHeight="1">
      <c r="A229" s="66"/>
    </row>
    <row r="230" ht="12.75" customHeight="1">
      <c r="A230" s="66"/>
    </row>
    <row r="231" ht="12.75" customHeight="1">
      <c r="A231" s="66"/>
    </row>
    <row r="232" ht="12.75" customHeight="1">
      <c r="A232" s="66"/>
    </row>
    <row r="233" ht="12.75" customHeight="1">
      <c r="A233" s="66"/>
    </row>
    <row r="234" ht="12.75" customHeight="1">
      <c r="A234" s="66"/>
    </row>
    <row r="235" ht="12.75" customHeight="1">
      <c r="A235" s="66"/>
    </row>
    <row r="236" ht="12.75" customHeight="1">
      <c r="A236" s="66"/>
    </row>
    <row r="237" ht="12.75" customHeight="1">
      <c r="A237" s="66"/>
    </row>
    <row r="238" ht="12.75" customHeight="1">
      <c r="A238" s="66"/>
    </row>
    <row r="239" ht="12.75" customHeight="1">
      <c r="A239" s="66"/>
    </row>
    <row r="240" ht="12.75" customHeight="1">
      <c r="A240" s="66"/>
    </row>
    <row r="241" ht="12.75" customHeight="1">
      <c r="A241" s="66"/>
    </row>
    <row r="242" ht="12.75" customHeight="1">
      <c r="A242" s="66"/>
    </row>
    <row r="243" ht="12.75" customHeight="1">
      <c r="A243" s="66"/>
    </row>
    <row r="244" ht="12.75" customHeight="1">
      <c r="A244" s="66"/>
    </row>
    <row r="245" ht="12.75" customHeight="1">
      <c r="A245" s="66"/>
    </row>
    <row r="246" ht="12.75" customHeight="1">
      <c r="A246" s="66"/>
    </row>
    <row r="247" ht="12.75" customHeight="1">
      <c r="A247" s="66"/>
    </row>
    <row r="248" ht="12.75" customHeight="1">
      <c r="A248" s="66"/>
    </row>
    <row r="249" ht="12.75" customHeight="1">
      <c r="A249" s="66"/>
    </row>
    <row r="250" ht="12.75" customHeight="1">
      <c r="A250" s="66"/>
    </row>
    <row r="251" ht="12.75" customHeight="1">
      <c r="A251" s="66"/>
    </row>
    <row r="252" ht="12.75" customHeight="1">
      <c r="A252" s="66"/>
    </row>
    <row r="253" ht="12.75" customHeight="1">
      <c r="A253" s="66"/>
    </row>
    <row r="254" ht="12.75" customHeight="1">
      <c r="A254" s="66"/>
    </row>
    <row r="255" ht="12.75" customHeight="1">
      <c r="A255" s="66"/>
    </row>
    <row r="256" ht="12.75" customHeight="1">
      <c r="A256" s="66"/>
    </row>
    <row r="257" ht="12.75" customHeight="1">
      <c r="A257" s="66"/>
    </row>
    <row r="258" ht="12.75" customHeight="1">
      <c r="A258" s="66"/>
    </row>
    <row r="259" ht="12.75" customHeight="1">
      <c r="A259" s="66"/>
    </row>
    <row r="260" ht="12.75" customHeight="1">
      <c r="A260" s="66"/>
    </row>
    <row r="261" ht="12.75" customHeight="1">
      <c r="A261" s="66"/>
    </row>
    <row r="262" ht="12.75" customHeight="1">
      <c r="A262" s="66"/>
    </row>
    <row r="263" ht="12.75" customHeight="1">
      <c r="A263" s="66"/>
    </row>
    <row r="264" ht="12.75" customHeight="1">
      <c r="A264" s="66"/>
    </row>
    <row r="265" ht="12.75" customHeight="1">
      <c r="A265" s="66"/>
    </row>
    <row r="266" ht="12.75" customHeight="1">
      <c r="A266" s="66"/>
    </row>
    <row r="267" ht="12.75" customHeight="1">
      <c r="A267" s="66"/>
    </row>
    <row r="268" ht="12.75" customHeight="1">
      <c r="A268" s="66"/>
    </row>
    <row r="269" ht="12.75" customHeight="1">
      <c r="A269" s="66"/>
    </row>
    <row r="270" ht="12.75" customHeight="1">
      <c r="A270" s="66"/>
    </row>
    <row r="271" ht="12.75" customHeight="1">
      <c r="A271" s="66"/>
    </row>
    <row r="272" ht="12.75" customHeight="1">
      <c r="A272" s="66"/>
    </row>
    <row r="273" ht="12.75" customHeight="1">
      <c r="A273" s="66"/>
    </row>
    <row r="274" ht="12.75" customHeight="1">
      <c r="A274" s="66"/>
    </row>
    <row r="275" ht="12.75" customHeight="1">
      <c r="A275" s="66"/>
    </row>
    <row r="276" ht="12.75" customHeight="1">
      <c r="A276" s="66"/>
    </row>
    <row r="277" ht="12.75" customHeight="1">
      <c r="A277" s="66"/>
    </row>
    <row r="278" ht="12.75" customHeight="1">
      <c r="A278" s="66"/>
    </row>
    <row r="279" ht="12.75" customHeight="1">
      <c r="A279" s="66"/>
    </row>
    <row r="280" ht="12.75" customHeight="1">
      <c r="A280" s="66"/>
    </row>
    <row r="281" ht="12.75" customHeight="1">
      <c r="A281" s="66"/>
    </row>
    <row r="282" ht="12.75" customHeight="1">
      <c r="A282" s="66"/>
    </row>
    <row r="283" ht="12.75" customHeight="1">
      <c r="A283" s="66"/>
    </row>
    <row r="284" ht="12.75" customHeight="1">
      <c r="A284" s="66"/>
    </row>
    <row r="285" ht="12.75" customHeight="1">
      <c r="A285" s="66"/>
    </row>
    <row r="286" ht="12.75" customHeight="1">
      <c r="A286" s="66"/>
    </row>
    <row r="287" ht="12.75" customHeight="1">
      <c r="A287" s="66"/>
    </row>
    <row r="288" ht="12.75" customHeight="1">
      <c r="A288" s="66"/>
    </row>
    <row r="289" ht="12.75" customHeight="1">
      <c r="A289" s="66"/>
    </row>
    <row r="290" ht="12.75" customHeight="1">
      <c r="A290" s="66"/>
    </row>
    <row r="291" ht="12.75" customHeight="1">
      <c r="A291" s="66"/>
    </row>
    <row r="292" ht="12.75" customHeight="1">
      <c r="A292" s="66"/>
    </row>
    <row r="293" ht="12.75" customHeight="1">
      <c r="A293" s="66"/>
    </row>
    <row r="294" ht="12.75" customHeight="1">
      <c r="A294" s="66"/>
    </row>
    <row r="295" ht="12.75" customHeight="1">
      <c r="A295" s="66"/>
    </row>
    <row r="296" ht="12.75" customHeight="1">
      <c r="A296" s="66"/>
    </row>
    <row r="297" ht="12.75" customHeight="1">
      <c r="A297" s="66"/>
    </row>
    <row r="298" ht="12.75" customHeight="1">
      <c r="A298" s="66"/>
    </row>
    <row r="299" ht="12.75" customHeight="1">
      <c r="A299" s="66"/>
    </row>
    <row r="300" ht="12.75" customHeight="1">
      <c r="A300" s="66"/>
    </row>
    <row r="301" ht="12.75" customHeight="1">
      <c r="A301" s="66"/>
    </row>
    <row r="302" ht="12.75" customHeight="1">
      <c r="A302" s="66"/>
    </row>
    <row r="303" ht="12.75" customHeight="1">
      <c r="A303" s="66"/>
    </row>
    <row r="304" ht="12.75" customHeight="1">
      <c r="A304" s="66"/>
    </row>
    <row r="305" ht="12.75" customHeight="1">
      <c r="A305" s="66"/>
    </row>
    <row r="306" ht="12.75" customHeight="1">
      <c r="A306" s="66"/>
    </row>
    <row r="307" ht="12.75" customHeight="1">
      <c r="A307" s="66"/>
    </row>
    <row r="308" ht="12.75" customHeight="1">
      <c r="A308" s="66"/>
    </row>
    <row r="309" ht="12.75" customHeight="1">
      <c r="A309" s="66"/>
    </row>
    <row r="310" ht="12.75" customHeight="1">
      <c r="A310" s="66"/>
    </row>
    <row r="311" ht="12.75" customHeight="1">
      <c r="A311" s="66"/>
    </row>
    <row r="312" ht="12.75" customHeight="1">
      <c r="A312" s="66"/>
    </row>
    <row r="313" ht="12.75" customHeight="1">
      <c r="A313" s="66"/>
    </row>
    <row r="314" ht="12.75" customHeight="1">
      <c r="A314" s="66"/>
    </row>
    <row r="315" ht="12.75" customHeight="1">
      <c r="A315" s="66"/>
    </row>
    <row r="316" ht="12.75" customHeight="1">
      <c r="A316" s="66"/>
    </row>
    <row r="317" ht="12.75" customHeight="1">
      <c r="A317" s="66"/>
    </row>
    <row r="318" ht="12.75" customHeight="1">
      <c r="A318" s="66"/>
    </row>
    <row r="319" ht="12.75" customHeight="1">
      <c r="A319" s="66"/>
    </row>
    <row r="320" ht="12.75" customHeight="1">
      <c r="A320" s="66"/>
    </row>
    <row r="321" ht="12.75" customHeight="1">
      <c r="A321" s="66"/>
    </row>
    <row r="322" ht="12.75" customHeight="1">
      <c r="A322" s="66"/>
    </row>
    <row r="323" ht="12.75" customHeight="1">
      <c r="A323" s="66"/>
    </row>
    <row r="324" ht="12.75" customHeight="1">
      <c r="A324" s="66"/>
    </row>
    <row r="325" ht="12.75" customHeight="1">
      <c r="A325" s="66"/>
    </row>
    <row r="326" ht="12.75" customHeight="1">
      <c r="A326" s="66"/>
    </row>
    <row r="327" ht="12.75" customHeight="1">
      <c r="A327" s="66"/>
    </row>
    <row r="328" ht="12.75" customHeight="1">
      <c r="A328" s="66"/>
    </row>
    <row r="329" ht="12.75" customHeight="1">
      <c r="A329" s="66"/>
    </row>
    <row r="330" ht="12.75" customHeight="1">
      <c r="A330" s="66"/>
    </row>
    <row r="331" ht="12.75" customHeight="1">
      <c r="A331" s="66"/>
    </row>
    <row r="332" ht="12.75" customHeight="1">
      <c r="A332" s="66"/>
    </row>
    <row r="333" ht="12.75" customHeight="1">
      <c r="A333" s="66"/>
    </row>
    <row r="334" ht="12.75" customHeight="1">
      <c r="A334" s="66"/>
    </row>
    <row r="335" ht="12.75" customHeight="1">
      <c r="A335" s="66"/>
    </row>
    <row r="336" ht="12.75" customHeight="1">
      <c r="A336" s="66"/>
    </row>
    <row r="337" ht="12.75" customHeight="1">
      <c r="A337" s="66"/>
    </row>
    <row r="338" ht="12.75" customHeight="1">
      <c r="A338" s="66"/>
    </row>
    <row r="339" ht="12.75" customHeight="1">
      <c r="A339" s="66"/>
    </row>
    <row r="340" ht="12.75" customHeight="1">
      <c r="A340" s="66"/>
    </row>
    <row r="341" ht="12.75" customHeight="1">
      <c r="A341" s="66"/>
    </row>
    <row r="342" ht="12.75" customHeight="1">
      <c r="A342" s="66"/>
    </row>
    <row r="343" ht="12.75" customHeight="1">
      <c r="A343" s="66"/>
    </row>
    <row r="344" ht="12.75" customHeight="1">
      <c r="A344" s="66"/>
    </row>
    <row r="345" ht="12.75" customHeight="1">
      <c r="A345" s="66"/>
    </row>
    <row r="346" ht="12.75" customHeight="1">
      <c r="A346" s="66"/>
    </row>
    <row r="347" ht="12.75" customHeight="1">
      <c r="A347" s="66"/>
    </row>
    <row r="348" ht="12.75" customHeight="1">
      <c r="A348" s="66"/>
    </row>
    <row r="349" ht="12.75" customHeight="1">
      <c r="A349" s="66"/>
    </row>
    <row r="350" ht="12.75" customHeight="1">
      <c r="A350" s="66"/>
    </row>
    <row r="351" ht="12.75" customHeight="1">
      <c r="A351" s="66"/>
    </row>
    <row r="352" ht="12.75" customHeight="1">
      <c r="A352" s="66"/>
    </row>
    <row r="353" ht="12.75" customHeight="1">
      <c r="A353" s="66"/>
    </row>
    <row r="354" ht="12.75" customHeight="1">
      <c r="A354" s="66"/>
    </row>
    <row r="355" ht="12.75" customHeight="1">
      <c r="A355" s="66"/>
    </row>
    <row r="356" ht="12.75" customHeight="1">
      <c r="A356" s="66"/>
    </row>
    <row r="357" ht="12.75" customHeight="1">
      <c r="A357" s="66"/>
    </row>
    <row r="358" ht="12.75" customHeight="1">
      <c r="A358" s="66"/>
    </row>
    <row r="359" ht="12.75" customHeight="1">
      <c r="A359" s="66"/>
    </row>
    <row r="360" ht="12.75" customHeight="1">
      <c r="A360" s="66"/>
    </row>
    <row r="361" ht="12.75" customHeight="1">
      <c r="A361" s="66"/>
    </row>
    <row r="362" ht="12.75" customHeight="1">
      <c r="A362" s="66"/>
    </row>
    <row r="363" ht="12.75" customHeight="1">
      <c r="A363" s="66"/>
    </row>
    <row r="364" ht="12.75" customHeight="1">
      <c r="A364" s="66"/>
    </row>
    <row r="365" ht="12.75" customHeight="1">
      <c r="A365" s="66"/>
    </row>
    <row r="366" ht="12.75" customHeight="1">
      <c r="A366" s="66"/>
    </row>
    <row r="367" ht="12.75" customHeight="1">
      <c r="A367" s="66"/>
    </row>
    <row r="368" ht="12.75" customHeight="1">
      <c r="A368" s="66"/>
    </row>
    <row r="369" ht="12.75" customHeight="1">
      <c r="A369" s="66"/>
    </row>
    <row r="370" ht="12.75" customHeight="1">
      <c r="A370" s="66"/>
    </row>
    <row r="371" ht="12.75" customHeight="1">
      <c r="A371" s="66"/>
    </row>
    <row r="372" ht="12.75" customHeight="1">
      <c r="A372" s="66"/>
    </row>
    <row r="373" ht="12.75" customHeight="1">
      <c r="A373" s="66"/>
    </row>
    <row r="374" ht="12.75" customHeight="1">
      <c r="A374" s="66"/>
    </row>
    <row r="375" ht="12.75" customHeight="1">
      <c r="A375" s="66"/>
    </row>
    <row r="376" ht="12.75" customHeight="1">
      <c r="A376" s="66"/>
    </row>
    <row r="377" ht="12.75" customHeight="1">
      <c r="A377" s="66"/>
    </row>
    <row r="378" ht="12.75" customHeight="1">
      <c r="A378" s="66"/>
    </row>
    <row r="379" ht="12.75" customHeight="1">
      <c r="A379" s="66"/>
    </row>
    <row r="380" ht="12.75" customHeight="1">
      <c r="A380" s="66"/>
    </row>
    <row r="381" ht="12.75" customHeight="1">
      <c r="A381" s="66"/>
    </row>
    <row r="382" ht="12.75" customHeight="1">
      <c r="A382" s="66"/>
    </row>
    <row r="383" ht="12.75" customHeight="1">
      <c r="A383" s="66"/>
    </row>
    <row r="384" ht="12.75" customHeight="1">
      <c r="A384" s="66"/>
    </row>
    <row r="385" ht="12.75" customHeight="1">
      <c r="A385" s="66"/>
    </row>
    <row r="386" ht="12.75" customHeight="1">
      <c r="A386" s="66"/>
    </row>
    <row r="387" ht="12.75" customHeight="1">
      <c r="A387" s="66"/>
    </row>
    <row r="388" ht="12.75" customHeight="1">
      <c r="A388" s="66"/>
    </row>
    <row r="389" ht="12.75" customHeight="1">
      <c r="A389" s="66"/>
    </row>
    <row r="390" ht="12.75" customHeight="1">
      <c r="A390" s="66"/>
    </row>
    <row r="391" ht="12.75" customHeight="1">
      <c r="A391" s="66"/>
    </row>
    <row r="392" ht="12.75" customHeight="1">
      <c r="A392" s="66"/>
    </row>
    <row r="393" ht="12.75" customHeight="1">
      <c r="A393" s="66"/>
    </row>
    <row r="394" ht="12.75" customHeight="1">
      <c r="A394" s="66"/>
    </row>
    <row r="395" ht="12.75" customHeight="1">
      <c r="A395" s="66"/>
    </row>
    <row r="396" ht="12.75" customHeight="1">
      <c r="A396" s="66"/>
    </row>
    <row r="397" ht="12.75" customHeight="1">
      <c r="A397" s="66"/>
    </row>
    <row r="398" ht="12.75" customHeight="1">
      <c r="A398" s="66"/>
    </row>
    <row r="399" ht="12.75" customHeight="1">
      <c r="A399" s="66"/>
    </row>
    <row r="400" ht="12.75" customHeight="1">
      <c r="A400" s="66"/>
    </row>
    <row r="401" ht="12.75" customHeight="1">
      <c r="A401" s="66"/>
    </row>
    <row r="402" ht="12.75" customHeight="1">
      <c r="A402" s="66"/>
    </row>
    <row r="403" ht="12.75" customHeight="1">
      <c r="A403" s="66"/>
    </row>
    <row r="404" ht="12.75" customHeight="1">
      <c r="A404" s="66"/>
    </row>
    <row r="405" ht="12.75" customHeight="1">
      <c r="A405" s="66"/>
    </row>
    <row r="406" ht="12.75" customHeight="1">
      <c r="A406" s="66"/>
    </row>
    <row r="407" ht="12.75" customHeight="1">
      <c r="A407" s="66"/>
    </row>
    <row r="408" ht="12.75" customHeight="1">
      <c r="A408" s="66"/>
    </row>
    <row r="409" ht="12.75" customHeight="1">
      <c r="A409" s="66"/>
    </row>
    <row r="410" ht="12.75" customHeight="1">
      <c r="A410" s="66"/>
    </row>
    <row r="411" ht="12.75" customHeight="1">
      <c r="A411" s="66"/>
    </row>
    <row r="412" ht="12.75" customHeight="1">
      <c r="A412" s="66"/>
    </row>
    <row r="413" ht="12.75" customHeight="1">
      <c r="A413" s="66"/>
    </row>
    <row r="414" ht="12.75" customHeight="1">
      <c r="A414" s="66"/>
    </row>
    <row r="415" ht="12.75" customHeight="1">
      <c r="A415" s="66"/>
    </row>
    <row r="416" ht="12.75" customHeight="1">
      <c r="A416" s="66"/>
    </row>
    <row r="417" ht="12.75" customHeight="1">
      <c r="A417" s="66"/>
    </row>
    <row r="418" ht="12.75" customHeight="1">
      <c r="A418" s="66"/>
    </row>
    <row r="419" ht="12.75" customHeight="1">
      <c r="A419" s="66"/>
    </row>
    <row r="420" ht="12.75" customHeight="1">
      <c r="A420" s="66"/>
    </row>
    <row r="421" ht="12.75" customHeight="1">
      <c r="A421" s="66"/>
    </row>
    <row r="422" ht="12.75" customHeight="1">
      <c r="A422" s="66"/>
    </row>
    <row r="423" ht="12.75" customHeight="1">
      <c r="A423" s="66"/>
    </row>
    <row r="424" ht="12.75" customHeight="1">
      <c r="A424" s="66"/>
    </row>
    <row r="425" ht="12.75" customHeight="1">
      <c r="A425" s="66"/>
    </row>
    <row r="426" ht="12.75" customHeight="1">
      <c r="A426" s="66"/>
    </row>
    <row r="427" ht="12.75" customHeight="1">
      <c r="A427" s="66"/>
    </row>
    <row r="428" ht="12.75" customHeight="1">
      <c r="A428" s="66"/>
    </row>
    <row r="429" ht="12.75" customHeight="1">
      <c r="A429" s="66"/>
    </row>
    <row r="430" ht="12.75" customHeight="1">
      <c r="A430" s="66"/>
    </row>
    <row r="431" ht="12.75" customHeight="1">
      <c r="A431" s="66"/>
    </row>
    <row r="432" ht="12.75" customHeight="1">
      <c r="A432" s="66"/>
    </row>
    <row r="433" ht="12.75" customHeight="1">
      <c r="A433" s="66"/>
    </row>
    <row r="434" ht="12.75" customHeight="1">
      <c r="A434" s="66"/>
    </row>
    <row r="435" ht="12.75" customHeight="1">
      <c r="A435" s="66"/>
    </row>
    <row r="436" ht="12.75" customHeight="1">
      <c r="A436" s="66"/>
    </row>
    <row r="437" ht="12.75" customHeight="1">
      <c r="A437" s="66"/>
    </row>
    <row r="438" ht="12.75" customHeight="1">
      <c r="A438" s="66"/>
    </row>
    <row r="439" ht="12.75" customHeight="1">
      <c r="A439" s="66"/>
    </row>
    <row r="440" ht="12.75" customHeight="1">
      <c r="A440" s="66"/>
    </row>
    <row r="441" ht="12.75" customHeight="1">
      <c r="A441" s="66"/>
    </row>
    <row r="442" ht="12.75" customHeight="1">
      <c r="A442" s="66"/>
    </row>
    <row r="443" ht="12.75" customHeight="1">
      <c r="A443" s="66"/>
    </row>
    <row r="444" ht="12.75" customHeight="1">
      <c r="A444" s="66"/>
    </row>
    <row r="445" ht="12.75" customHeight="1">
      <c r="A445" s="66"/>
    </row>
    <row r="446" ht="12.75" customHeight="1">
      <c r="A446" s="66"/>
    </row>
    <row r="447" ht="12.75" customHeight="1">
      <c r="A447" s="66"/>
    </row>
    <row r="448" ht="12.75" customHeight="1">
      <c r="A448" s="66"/>
    </row>
    <row r="449" ht="12.75" customHeight="1">
      <c r="A449" s="66"/>
    </row>
    <row r="450" ht="12.75" customHeight="1">
      <c r="A450" s="66"/>
    </row>
    <row r="451" ht="12.75" customHeight="1">
      <c r="A451" s="66"/>
    </row>
    <row r="452" ht="12.75" customHeight="1">
      <c r="A452" s="66"/>
    </row>
    <row r="453" ht="12.75" customHeight="1">
      <c r="A453" s="66"/>
    </row>
    <row r="454" ht="12.75" customHeight="1">
      <c r="A454" s="66"/>
    </row>
    <row r="455" ht="12.75" customHeight="1">
      <c r="A455" s="66"/>
    </row>
    <row r="456" ht="12.75" customHeight="1">
      <c r="A456" s="66"/>
    </row>
    <row r="457" ht="12.75" customHeight="1">
      <c r="A457" s="66"/>
    </row>
    <row r="458" ht="12.75" customHeight="1">
      <c r="A458" s="66"/>
    </row>
    <row r="459" ht="12.75" customHeight="1">
      <c r="A459" s="66"/>
    </row>
    <row r="460" ht="12.75" customHeight="1">
      <c r="A460" s="66"/>
    </row>
    <row r="461" ht="12.75" customHeight="1">
      <c r="A461" s="66"/>
    </row>
    <row r="462" ht="12.75" customHeight="1">
      <c r="A462" s="66"/>
    </row>
    <row r="463" ht="12.75" customHeight="1">
      <c r="A463" s="66"/>
    </row>
    <row r="464" ht="12.75" customHeight="1">
      <c r="A464" s="66"/>
    </row>
    <row r="465" ht="12.75" customHeight="1">
      <c r="A465" s="66"/>
    </row>
    <row r="466" ht="12.75" customHeight="1">
      <c r="A466" s="66"/>
    </row>
    <row r="467" ht="12.75" customHeight="1">
      <c r="A467" s="66"/>
    </row>
    <row r="468" ht="12.75" customHeight="1">
      <c r="A468" s="66"/>
    </row>
    <row r="469" ht="12.75" customHeight="1">
      <c r="A469" s="66"/>
    </row>
    <row r="470" ht="12.75" customHeight="1">
      <c r="A470" s="66"/>
    </row>
    <row r="471" ht="12.75" customHeight="1">
      <c r="A471" s="66"/>
    </row>
    <row r="472" ht="12.75" customHeight="1">
      <c r="A472" s="66"/>
    </row>
    <row r="473" ht="12.75" customHeight="1">
      <c r="A473" s="66"/>
    </row>
    <row r="474" ht="12.75" customHeight="1">
      <c r="A474" s="66"/>
    </row>
    <row r="475" ht="12.75" customHeight="1">
      <c r="A475" s="66"/>
    </row>
    <row r="476" ht="12.75" customHeight="1">
      <c r="A476" s="66"/>
    </row>
    <row r="477" ht="12.75" customHeight="1">
      <c r="A477" s="66"/>
    </row>
    <row r="478" ht="12.75" customHeight="1">
      <c r="A478" s="66"/>
    </row>
    <row r="479" ht="12.75" customHeight="1">
      <c r="A479" s="66"/>
    </row>
    <row r="480" ht="12.75" customHeight="1">
      <c r="A480" s="66"/>
    </row>
    <row r="481" ht="12.75" customHeight="1">
      <c r="A481" s="66"/>
    </row>
    <row r="482" ht="12.75" customHeight="1">
      <c r="A482" s="66"/>
    </row>
    <row r="483" ht="12.75" customHeight="1">
      <c r="A483" s="66"/>
    </row>
    <row r="484" ht="12.75" customHeight="1">
      <c r="A484" s="66"/>
    </row>
    <row r="485" ht="12.75" customHeight="1">
      <c r="A485" s="66"/>
    </row>
    <row r="486" ht="12.75" customHeight="1">
      <c r="A486" s="66"/>
    </row>
    <row r="487" ht="12.75" customHeight="1">
      <c r="A487" s="66"/>
    </row>
    <row r="488" ht="12.75" customHeight="1">
      <c r="A488" s="66"/>
    </row>
    <row r="489" ht="12.75" customHeight="1">
      <c r="A489" s="66"/>
    </row>
    <row r="490" ht="12.75" customHeight="1">
      <c r="A490" s="66"/>
    </row>
    <row r="491" ht="12.75" customHeight="1">
      <c r="A491" s="66"/>
    </row>
    <row r="492" ht="12.75" customHeight="1">
      <c r="A492" s="66"/>
    </row>
    <row r="493" ht="12.75" customHeight="1">
      <c r="A493" s="66"/>
    </row>
    <row r="494" ht="12.75" customHeight="1">
      <c r="A494" s="66"/>
    </row>
    <row r="495" ht="12.75" customHeight="1">
      <c r="A495" s="66"/>
    </row>
    <row r="496" ht="12.75" customHeight="1">
      <c r="A496" s="66"/>
    </row>
    <row r="497" ht="12.75" customHeight="1">
      <c r="A497" s="66"/>
    </row>
    <row r="498" ht="12.75" customHeight="1">
      <c r="A498" s="66"/>
    </row>
    <row r="499" ht="12.75" customHeight="1">
      <c r="A499" s="66"/>
    </row>
    <row r="500" ht="12.75" customHeight="1">
      <c r="A500" s="66"/>
    </row>
    <row r="501" ht="12.75" customHeight="1">
      <c r="A501" s="66"/>
    </row>
    <row r="502" ht="12.75" customHeight="1">
      <c r="A502" s="66"/>
    </row>
    <row r="503" ht="12.75" customHeight="1">
      <c r="A503" s="66"/>
    </row>
    <row r="504" ht="12.75" customHeight="1">
      <c r="A504" s="66"/>
    </row>
    <row r="505" ht="12.75" customHeight="1">
      <c r="A505" s="66"/>
    </row>
    <row r="506" ht="12.75" customHeight="1">
      <c r="A506" s="66"/>
    </row>
    <row r="507" ht="12.75" customHeight="1">
      <c r="A507" s="66"/>
    </row>
    <row r="508" ht="12.75" customHeight="1">
      <c r="A508" s="66"/>
    </row>
    <row r="509" ht="12.75" customHeight="1">
      <c r="A509" s="66"/>
    </row>
    <row r="510" ht="12.75" customHeight="1">
      <c r="A510" s="66"/>
    </row>
    <row r="511" ht="12.75" customHeight="1">
      <c r="A511" s="66"/>
    </row>
    <row r="512" ht="12.75" customHeight="1">
      <c r="A512" s="66"/>
    </row>
    <row r="513" ht="12.75" customHeight="1">
      <c r="A513" s="66"/>
    </row>
    <row r="514" ht="12.75" customHeight="1">
      <c r="A514" s="66"/>
    </row>
    <row r="515" ht="12.75" customHeight="1">
      <c r="A515" s="66"/>
    </row>
    <row r="516" ht="12.75" customHeight="1">
      <c r="A516" s="66"/>
    </row>
    <row r="517" ht="12.75" customHeight="1">
      <c r="A517" s="66"/>
    </row>
    <row r="518" ht="12.75" customHeight="1">
      <c r="A518" s="66"/>
    </row>
    <row r="519" ht="12.75" customHeight="1">
      <c r="A519" s="66"/>
    </row>
    <row r="520" ht="12.75" customHeight="1">
      <c r="A520" s="66"/>
    </row>
    <row r="521" ht="12.75" customHeight="1">
      <c r="A521" s="66"/>
    </row>
    <row r="522" ht="12.75" customHeight="1">
      <c r="A522" s="66"/>
    </row>
    <row r="523" ht="12.75" customHeight="1">
      <c r="A523" s="66"/>
    </row>
    <row r="524" ht="12.75" customHeight="1">
      <c r="A524" s="66"/>
    </row>
    <row r="525" ht="12.75" customHeight="1">
      <c r="A525" s="66"/>
    </row>
    <row r="526" ht="12.75" customHeight="1">
      <c r="A526" s="66"/>
    </row>
    <row r="527" ht="12.75" customHeight="1">
      <c r="A527" s="66"/>
    </row>
    <row r="528" ht="12.75" customHeight="1">
      <c r="A528" s="66"/>
    </row>
    <row r="529" ht="12.75" customHeight="1">
      <c r="A529" s="66"/>
    </row>
    <row r="530" ht="12.75" customHeight="1">
      <c r="A530" s="66"/>
    </row>
    <row r="531" ht="12.75" customHeight="1">
      <c r="A531" s="66"/>
    </row>
    <row r="532" ht="12.75" customHeight="1">
      <c r="A532" s="66"/>
    </row>
    <row r="533" ht="12.75" customHeight="1">
      <c r="A533" s="66"/>
    </row>
    <row r="534" ht="12.75" customHeight="1">
      <c r="A534" s="66"/>
    </row>
    <row r="535" ht="12.75" customHeight="1">
      <c r="A535" s="66"/>
    </row>
    <row r="536" ht="12.75" customHeight="1">
      <c r="A536" s="66"/>
    </row>
    <row r="537" ht="12.75" customHeight="1">
      <c r="A537" s="66"/>
    </row>
    <row r="538" ht="12.75" customHeight="1">
      <c r="A538" s="66"/>
    </row>
    <row r="539" ht="12.75" customHeight="1">
      <c r="A539" s="66"/>
    </row>
    <row r="540" ht="12.75" customHeight="1">
      <c r="A540" s="66"/>
    </row>
    <row r="541" ht="12.75" customHeight="1">
      <c r="A541" s="66"/>
    </row>
    <row r="542" ht="12.75" customHeight="1">
      <c r="A542" s="66"/>
    </row>
    <row r="543" ht="12.75" customHeight="1">
      <c r="A543" s="66"/>
    </row>
    <row r="544" ht="12.75" customHeight="1">
      <c r="A544" s="66"/>
    </row>
    <row r="545" ht="12.75" customHeight="1">
      <c r="A545" s="66"/>
    </row>
    <row r="546" ht="12.75" customHeight="1">
      <c r="A546" s="66"/>
    </row>
    <row r="547" ht="12.75" customHeight="1">
      <c r="A547" s="66"/>
    </row>
    <row r="548" ht="12.75" customHeight="1">
      <c r="A548" s="66"/>
    </row>
    <row r="549" ht="12.75" customHeight="1">
      <c r="A549" s="66"/>
    </row>
    <row r="550" ht="12.75" customHeight="1">
      <c r="A550" s="66"/>
    </row>
    <row r="551" ht="12.75" customHeight="1">
      <c r="A551" s="66"/>
    </row>
    <row r="552" ht="12.75" customHeight="1">
      <c r="A552" s="66"/>
    </row>
    <row r="553" ht="12.75" customHeight="1">
      <c r="A553" s="66"/>
    </row>
    <row r="554" ht="12.75" customHeight="1">
      <c r="A554" s="66"/>
    </row>
    <row r="555" ht="12.75" customHeight="1">
      <c r="A555" s="66"/>
    </row>
    <row r="556" ht="12.75" customHeight="1">
      <c r="A556" s="66"/>
    </row>
    <row r="557" ht="12.75" customHeight="1">
      <c r="A557" s="66"/>
    </row>
    <row r="558" ht="12.75" customHeight="1">
      <c r="A558" s="66"/>
    </row>
    <row r="559" ht="12.75" customHeight="1">
      <c r="A559" s="66"/>
    </row>
    <row r="560" ht="12.75" customHeight="1">
      <c r="A560" s="66"/>
    </row>
    <row r="561" ht="12.75" customHeight="1">
      <c r="A561" s="66"/>
    </row>
    <row r="562" ht="12.75" customHeight="1">
      <c r="A562" s="66"/>
    </row>
    <row r="563" ht="12.75" customHeight="1">
      <c r="A563" s="66"/>
    </row>
    <row r="564" ht="12.75" customHeight="1">
      <c r="A564" s="66"/>
    </row>
    <row r="565" ht="12.75" customHeight="1">
      <c r="A565" s="66"/>
    </row>
    <row r="566" ht="12.75" customHeight="1">
      <c r="A566" s="66"/>
    </row>
    <row r="567" ht="12.75" customHeight="1">
      <c r="A567" s="66"/>
    </row>
    <row r="568" ht="12.75" customHeight="1">
      <c r="A568" s="66"/>
    </row>
    <row r="569" ht="12.75" customHeight="1">
      <c r="A569" s="66"/>
    </row>
    <row r="570" ht="12.75" customHeight="1">
      <c r="A570" s="66"/>
    </row>
    <row r="571" ht="12.75" customHeight="1">
      <c r="A571" s="66"/>
    </row>
    <row r="572" ht="12.75" customHeight="1">
      <c r="A572" s="66"/>
    </row>
    <row r="573" ht="12.75" customHeight="1">
      <c r="A573" s="66"/>
    </row>
    <row r="574" ht="12.75" customHeight="1">
      <c r="A574" s="66"/>
    </row>
    <row r="575" ht="12.75" customHeight="1">
      <c r="A575" s="66"/>
    </row>
    <row r="576" ht="12.75" customHeight="1">
      <c r="A576" s="66"/>
    </row>
    <row r="577" ht="12.75" customHeight="1">
      <c r="A577" s="66"/>
    </row>
    <row r="578" ht="12.75" customHeight="1">
      <c r="A578" s="66"/>
    </row>
    <row r="579" ht="12.75" customHeight="1">
      <c r="A579" s="66"/>
    </row>
    <row r="580" ht="12.75" customHeight="1">
      <c r="A580" s="66"/>
    </row>
    <row r="581" ht="12.75" customHeight="1">
      <c r="A581" s="66"/>
    </row>
    <row r="582" ht="12.75" customHeight="1">
      <c r="A582" s="66"/>
    </row>
    <row r="583" ht="12.75" customHeight="1">
      <c r="A583" s="66"/>
    </row>
    <row r="584" ht="12.75" customHeight="1">
      <c r="A584" s="66"/>
    </row>
    <row r="585" ht="12.75" customHeight="1">
      <c r="A585" s="66"/>
    </row>
    <row r="586" ht="12.75" customHeight="1">
      <c r="A586" s="66"/>
    </row>
    <row r="587" ht="12.75" customHeight="1">
      <c r="A587" s="66"/>
    </row>
    <row r="588" ht="12.75" customHeight="1">
      <c r="A588" s="66"/>
    </row>
    <row r="589" ht="12.75" customHeight="1">
      <c r="A589" s="66"/>
    </row>
    <row r="590" ht="12.75" customHeight="1">
      <c r="A590" s="66"/>
    </row>
    <row r="591" ht="12.75" customHeight="1">
      <c r="A591" s="66"/>
    </row>
    <row r="592" ht="12.75" customHeight="1">
      <c r="A592" s="66"/>
    </row>
    <row r="593" ht="12.75" customHeight="1">
      <c r="A593" s="66"/>
    </row>
    <row r="594" ht="12.75" customHeight="1">
      <c r="A594" s="66"/>
    </row>
    <row r="595" ht="12.75" customHeight="1">
      <c r="A595" s="66"/>
    </row>
    <row r="596" ht="12.75" customHeight="1">
      <c r="A596" s="66"/>
    </row>
    <row r="597" ht="12.75" customHeight="1">
      <c r="A597" s="66"/>
    </row>
    <row r="598" ht="12.75" customHeight="1">
      <c r="A598" s="66"/>
    </row>
    <row r="599" ht="12.75" customHeight="1">
      <c r="A599" s="66"/>
    </row>
    <row r="600" ht="12.75" customHeight="1">
      <c r="A600" s="66"/>
    </row>
    <row r="601" ht="12.75" customHeight="1">
      <c r="A601" s="66"/>
    </row>
    <row r="602" ht="12.75" customHeight="1">
      <c r="A602" s="66"/>
    </row>
    <row r="603" ht="12.75" customHeight="1">
      <c r="A603" s="66"/>
    </row>
    <row r="604" ht="12.75" customHeight="1">
      <c r="A604" s="66"/>
    </row>
    <row r="605" ht="12.75" customHeight="1">
      <c r="A605" s="66"/>
    </row>
    <row r="606" ht="12.75" customHeight="1">
      <c r="A606" s="66"/>
    </row>
    <row r="607" ht="12.75" customHeight="1">
      <c r="A607" s="66"/>
    </row>
    <row r="608" ht="12.75" customHeight="1">
      <c r="A608" s="66"/>
    </row>
    <row r="609" ht="12.75" customHeight="1">
      <c r="A609" s="66"/>
    </row>
    <row r="610" ht="12.75" customHeight="1">
      <c r="A610" s="66"/>
    </row>
    <row r="611" ht="12.75" customHeight="1">
      <c r="A611" s="66"/>
    </row>
    <row r="612" ht="12.75" customHeight="1">
      <c r="A612" s="66"/>
    </row>
    <row r="613" ht="12.75" customHeight="1">
      <c r="A613" s="66"/>
    </row>
    <row r="614" ht="12.75" customHeight="1">
      <c r="A614" s="66"/>
    </row>
    <row r="615" ht="12.75" customHeight="1">
      <c r="A615" s="66"/>
    </row>
    <row r="616" ht="12.75" customHeight="1">
      <c r="A616" s="66"/>
    </row>
    <row r="617" ht="12.75" customHeight="1">
      <c r="A617" s="66"/>
    </row>
    <row r="618" ht="12.75" customHeight="1">
      <c r="A618" s="66"/>
    </row>
    <row r="619" ht="12.75" customHeight="1">
      <c r="A619" s="66"/>
    </row>
    <row r="620" ht="12.75" customHeight="1">
      <c r="A620" s="66"/>
    </row>
    <row r="621" ht="12.75" customHeight="1">
      <c r="A621" s="66"/>
    </row>
    <row r="622" ht="12.75" customHeight="1">
      <c r="A622" s="66"/>
    </row>
    <row r="623" ht="12.75" customHeight="1">
      <c r="A623" s="66"/>
    </row>
    <row r="624" ht="12.75" customHeight="1">
      <c r="A624" s="66"/>
    </row>
    <row r="625" ht="12.75" customHeight="1">
      <c r="A625" s="66"/>
    </row>
    <row r="626" ht="12.75" customHeight="1">
      <c r="A626" s="66"/>
    </row>
    <row r="627" ht="12.75" customHeight="1">
      <c r="A627" s="66"/>
    </row>
    <row r="628" ht="12.75" customHeight="1">
      <c r="A628" s="66"/>
    </row>
    <row r="629" ht="12.75" customHeight="1">
      <c r="A629" s="66"/>
    </row>
    <row r="630" ht="12.75" customHeight="1">
      <c r="A630" s="66"/>
    </row>
    <row r="631" ht="12.75" customHeight="1">
      <c r="A631" s="66"/>
    </row>
    <row r="632" ht="12.75" customHeight="1">
      <c r="A632" s="66"/>
    </row>
    <row r="633" ht="12.75" customHeight="1">
      <c r="A633" s="66"/>
    </row>
    <row r="634" ht="12.75" customHeight="1">
      <c r="A634" s="66"/>
    </row>
    <row r="635" ht="12.75" customHeight="1">
      <c r="A635" s="66"/>
    </row>
    <row r="636" ht="12.75" customHeight="1">
      <c r="A636" s="66"/>
    </row>
    <row r="637" ht="12.75" customHeight="1">
      <c r="A637" s="66"/>
    </row>
    <row r="638" ht="12.75" customHeight="1">
      <c r="A638" s="66"/>
    </row>
    <row r="639" ht="12.75" customHeight="1">
      <c r="A639" s="66"/>
    </row>
    <row r="640" ht="12.75" customHeight="1">
      <c r="A640" s="66"/>
    </row>
    <row r="641" ht="12.75" customHeight="1">
      <c r="A641" s="66"/>
    </row>
    <row r="642" ht="12.75" customHeight="1">
      <c r="A642" s="66"/>
    </row>
    <row r="643" ht="12.75" customHeight="1">
      <c r="A643" s="66"/>
    </row>
    <row r="644" ht="12.75" customHeight="1">
      <c r="A644" s="66"/>
    </row>
    <row r="645" ht="12.75" customHeight="1">
      <c r="A645" s="66"/>
    </row>
    <row r="646" ht="12.75" customHeight="1">
      <c r="A646" s="66"/>
    </row>
    <row r="647" ht="12.75" customHeight="1">
      <c r="A647" s="66"/>
    </row>
    <row r="648" ht="12.75" customHeight="1">
      <c r="A648" s="66"/>
    </row>
    <row r="649" ht="12.75" customHeight="1">
      <c r="A649" s="66"/>
    </row>
    <row r="650" ht="12.75" customHeight="1">
      <c r="A650" s="66"/>
    </row>
    <row r="651" ht="12.75" customHeight="1">
      <c r="A651" s="66"/>
    </row>
    <row r="652" ht="12.75" customHeight="1">
      <c r="A652" s="66"/>
    </row>
    <row r="653" ht="12.75" customHeight="1">
      <c r="A653" s="66"/>
    </row>
    <row r="654" ht="12.75" customHeight="1">
      <c r="A654" s="66"/>
    </row>
    <row r="655" ht="12.75" customHeight="1">
      <c r="A655" s="66"/>
    </row>
    <row r="656" ht="12.75" customHeight="1">
      <c r="A656" s="66"/>
    </row>
    <row r="657" ht="12.75" customHeight="1">
      <c r="A657" s="66"/>
    </row>
    <row r="658" ht="12.75" customHeight="1">
      <c r="A658" s="66"/>
    </row>
    <row r="659" ht="12.75" customHeight="1">
      <c r="A659" s="66"/>
    </row>
    <row r="660" ht="12.75" customHeight="1">
      <c r="A660" s="66"/>
    </row>
    <row r="661" ht="12.75" customHeight="1">
      <c r="A661" s="66"/>
    </row>
    <row r="662" ht="12.75" customHeight="1">
      <c r="A662" s="66"/>
    </row>
    <row r="663" ht="12.75" customHeight="1">
      <c r="A663" s="66"/>
    </row>
    <row r="664" ht="12.75" customHeight="1">
      <c r="A664" s="66"/>
    </row>
    <row r="665" ht="12.75" customHeight="1">
      <c r="A665" s="66"/>
    </row>
    <row r="666" ht="12.75" customHeight="1">
      <c r="A666" s="66"/>
    </row>
    <row r="667" ht="12.75" customHeight="1">
      <c r="A667" s="66"/>
    </row>
    <row r="668" ht="12.75" customHeight="1">
      <c r="A668" s="66"/>
    </row>
    <row r="669" ht="12.75" customHeight="1">
      <c r="A669" s="66"/>
    </row>
    <row r="670" ht="12.75" customHeight="1">
      <c r="A670" s="66"/>
    </row>
    <row r="671" ht="12.75" customHeight="1">
      <c r="A671" s="66"/>
    </row>
    <row r="672" ht="12.75" customHeight="1">
      <c r="A672" s="66"/>
    </row>
    <row r="673" ht="12.75" customHeight="1">
      <c r="A673" s="66"/>
    </row>
    <row r="674" ht="12.75" customHeight="1">
      <c r="A674" s="66"/>
    </row>
    <row r="675" ht="12.75" customHeight="1">
      <c r="A675" s="66"/>
    </row>
    <row r="676" ht="12.75" customHeight="1">
      <c r="A676" s="66"/>
    </row>
    <row r="677" ht="12.75" customHeight="1">
      <c r="A677" s="66"/>
    </row>
    <row r="678" ht="12.75" customHeight="1">
      <c r="A678" s="66"/>
    </row>
    <row r="679" ht="12.75" customHeight="1">
      <c r="A679" s="66"/>
    </row>
    <row r="680" ht="12.75" customHeight="1">
      <c r="A680" s="66"/>
    </row>
    <row r="681" ht="12.75" customHeight="1">
      <c r="A681" s="66"/>
    </row>
    <row r="682" ht="12.75" customHeight="1">
      <c r="A682" s="66"/>
    </row>
    <row r="683" ht="12.75" customHeight="1">
      <c r="A683" s="66"/>
    </row>
    <row r="684" ht="12.75" customHeight="1">
      <c r="A684" s="66"/>
    </row>
    <row r="685" ht="12.75" customHeight="1">
      <c r="A685" s="66"/>
    </row>
    <row r="686" ht="12.75" customHeight="1">
      <c r="A686" s="66"/>
    </row>
    <row r="687" ht="12.75" customHeight="1">
      <c r="A687" s="66"/>
    </row>
    <row r="688" ht="12.75" customHeight="1">
      <c r="A688" s="66"/>
    </row>
    <row r="689" ht="12.75" customHeight="1">
      <c r="A689" s="66"/>
    </row>
    <row r="690" ht="12.75" customHeight="1">
      <c r="A690" s="66"/>
    </row>
    <row r="691" ht="12.75" customHeight="1">
      <c r="A691" s="66"/>
    </row>
    <row r="692" ht="12.75" customHeight="1">
      <c r="A692" s="66"/>
    </row>
    <row r="693" ht="12.75" customHeight="1">
      <c r="A693" s="66"/>
    </row>
    <row r="694" ht="12.75" customHeight="1">
      <c r="A694" s="66"/>
    </row>
    <row r="695" ht="12.75" customHeight="1">
      <c r="A695" s="66"/>
    </row>
    <row r="696" ht="12.75" customHeight="1">
      <c r="A696" s="66"/>
    </row>
    <row r="697" ht="12.75" customHeight="1">
      <c r="A697" s="66"/>
    </row>
    <row r="698" ht="12.75" customHeight="1">
      <c r="A698" s="66"/>
    </row>
    <row r="699" ht="12.75" customHeight="1">
      <c r="A699" s="66"/>
    </row>
    <row r="700" ht="12.75" customHeight="1">
      <c r="A700" s="66"/>
    </row>
    <row r="701" ht="12.75" customHeight="1">
      <c r="A701" s="66"/>
    </row>
    <row r="702" ht="12.75" customHeight="1">
      <c r="A702" s="66"/>
    </row>
    <row r="703" ht="12.75" customHeight="1">
      <c r="A703" s="66"/>
    </row>
    <row r="704" ht="12.75" customHeight="1">
      <c r="A704" s="66"/>
    </row>
    <row r="705" ht="12.75" customHeight="1">
      <c r="A705" s="66"/>
    </row>
    <row r="706" ht="12.75" customHeight="1">
      <c r="A706" s="66"/>
    </row>
    <row r="707" ht="12.75" customHeight="1">
      <c r="A707" s="66"/>
    </row>
    <row r="708" ht="12.75" customHeight="1">
      <c r="A708" s="66"/>
    </row>
    <row r="709" ht="12.75" customHeight="1">
      <c r="A709" s="66"/>
    </row>
    <row r="710" ht="12.75" customHeight="1">
      <c r="A710" s="66"/>
    </row>
    <row r="711" ht="12.75" customHeight="1">
      <c r="A711" s="66"/>
    </row>
    <row r="712" ht="12.75" customHeight="1">
      <c r="A712" s="66"/>
    </row>
    <row r="713" ht="12.75" customHeight="1">
      <c r="A713" s="66"/>
    </row>
    <row r="714" ht="12.75" customHeight="1">
      <c r="A714" s="66"/>
    </row>
    <row r="715" ht="12.75" customHeight="1">
      <c r="A715" s="66"/>
    </row>
    <row r="716" ht="12.75" customHeight="1">
      <c r="A716" s="66"/>
    </row>
    <row r="717" ht="12.75" customHeight="1">
      <c r="A717" s="66"/>
    </row>
    <row r="718" ht="12.75" customHeight="1">
      <c r="A718" s="66"/>
    </row>
    <row r="719" ht="12.75" customHeight="1">
      <c r="A719" s="66"/>
    </row>
    <row r="720" ht="12.75" customHeight="1">
      <c r="A720" s="66"/>
    </row>
    <row r="721" ht="12.75" customHeight="1">
      <c r="A721" s="66"/>
    </row>
    <row r="722" ht="12.75" customHeight="1">
      <c r="A722" s="66"/>
    </row>
    <row r="723" ht="12.75" customHeight="1">
      <c r="A723" s="66"/>
    </row>
    <row r="724" ht="12.75" customHeight="1">
      <c r="A724" s="66"/>
    </row>
    <row r="725" ht="12.75" customHeight="1">
      <c r="A725" s="66"/>
    </row>
    <row r="726" ht="12.75" customHeight="1">
      <c r="A726" s="66"/>
    </row>
    <row r="727" ht="12.75" customHeight="1">
      <c r="A727" s="66"/>
    </row>
    <row r="728" ht="12.75" customHeight="1">
      <c r="A728" s="66"/>
    </row>
    <row r="729" ht="12.75" customHeight="1">
      <c r="A729" s="66"/>
    </row>
    <row r="730" ht="12.75" customHeight="1">
      <c r="A730" s="66"/>
    </row>
    <row r="731" ht="12.75" customHeight="1">
      <c r="A731" s="66"/>
    </row>
    <row r="732" ht="12.75" customHeight="1">
      <c r="A732" s="66"/>
    </row>
    <row r="733" ht="12.75" customHeight="1">
      <c r="A733" s="66"/>
    </row>
    <row r="734" ht="12.75" customHeight="1">
      <c r="A734" s="66"/>
    </row>
    <row r="735" ht="12.75" customHeight="1">
      <c r="A735" s="66"/>
    </row>
    <row r="736" ht="12.75" customHeight="1">
      <c r="A736" s="66"/>
    </row>
    <row r="737" ht="12.75" customHeight="1">
      <c r="A737" s="66"/>
    </row>
    <row r="738" ht="12.75" customHeight="1">
      <c r="A738" s="66"/>
    </row>
    <row r="739" ht="12.75" customHeight="1">
      <c r="A739" s="66"/>
    </row>
    <row r="740" ht="12.75" customHeight="1">
      <c r="A740" s="66"/>
    </row>
    <row r="741" ht="12.75" customHeight="1">
      <c r="A741" s="66"/>
    </row>
    <row r="742" ht="12.75" customHeight="1">
      <c r="A742" s="66"/>
    </row>
    <row r="743" ht="12.75" customHeight="1">
      <c r="A743" s="66"/>
    </row>
    <row r="744" ht="12.75" customHeight="1">
      <c r="A744" s="66"/>
    </row>
    <row r="745" ht="12.75" customHeight="1">
      <c r="A745" s="66"/>
    </row>
    <row r="746" ht="12.75" customHeight="1">
      <c r="A746" s="66"/>
    </row>
    <row r="747" ht="12.75" customHeight="1">
      <c r="A747" s="66"/>
    </row>
    <row r="748" ht="12.75" customHeight="1">
      <c r="A748" s="66"/>
    </row>
    <row r="749" ht="12.75" customHeight="1">
      <c r="A749" s="66"/>
    </row>
    <row r="750" ht="12.75" customHeight="1">
      <c r="A750" s="66"/>
    </row>
    <row r="751" ht="12.75" customHeight="1">
      <c r="A751" s="66"/>
    </row>
    <row r="752" ht="12.75" customHeight="1">
      <c r="A752" s="66"/>
    </row>
    <row r="753" ht="12.75" customHeight="1">
      <c r="A753" s="66"/>
    </row>
    <row r="754" ht="12.75" customHeight="1">
      <c r="A754" s="66"/>
    </row>
    <row r="755" ht="12.75" customHeight="1">
      <c r="A755" s="66"/>
    </row>
    <row r="756" ht="12.75" customHeight="1">
      <c r="A756" s="66"/>
    </row>
    <row r="757" ht="12.75" customHeight="1">
      <c r="A757" s="66"/>
    </row>
    <row r="758" ht="12.75" customHeight="1">
      <c r="A758" s="66"/>
    </row>
    <row r="759" ht="12.75" customHeight="1">
      <c r="A759" s="66"/>
    </row>
    <row r="760" ht="12.75" customHeight="1">
      <c r="A760" s="66"/>
    </row>
    <row r="761" ht="12.75" customHeight="1">
      <c r="A761" s="66"/>
    </row>
    <row r="762" ht="12.75" customHeight="1">
      <c r="A762" s="66"/>
    </row>
    <row r="763" ht="12.75" customHeight="1">
      <c r="A763" s="66"/>
    </row>
    <row r="764" ht="12.75" customHeight="1">
      <c r="A764" s="66"/>
    </row>
    <row r="765" ht="12.75" customHeight="1">
      <c r="A765" s="66"/>
    </row>
    <row r="766" ht="12.75" customHeight="1">
      <c r="A766" s="66"/>
    </row>
    <row r="767" ht="12.75" customHeight="1">
      <c r="A767" s="66"/>
    </row>
    <row r="768" ht="12.75" customHeight="1">
      <c r="A768" s="66"/>
    </row>
    <row r="769" ht="12.75" customHeight="1">
      <c r="A769" s="66"/>
    </row>
    <row r="770" ht="12.75" customHeight="1">
      <c r="A770" s="66"/>
    </row>
    <row r="771" ht="12.75" customHeight="1">
      <c r="A771" s="66"/>
    </row>
    <row r="772" ht="12.75" customHeight="1">
      <c r="A772" s="66"/>
    </row>
    <row r="773" ht="12.75" customHeight="1">
      <c r="A773" s="66"/>
    </row>
    <row r="774" ht="12.75" customHeight="1">
      <c r="A774" s="66"/>
    </row>
    <row r="775" ht="12.75" customHeight="1">
      <c r="A775" s="66"/>
    </row>
    <row r="776" ht="12.75" customHeight="1">
      <c r="A776" s="66"/>
    </row>
    <row r="777" ht="12.75" customHeight="1">
      <c r="A777" s="66"/>
    </row>
    <row r="778" ht="12.75" customHeight="1">
      <c r="A778" s="66"/>
    </row>
    <row r="779" ht="12.75" customHeight="1">
      <c r="A779" s="66"/>
    </row>
    <row r="780" ht="12.75" customHeight="1">
      <c r="A780" s="66"/>
    </row>
    <row r="781" ht="12.75" customHeight="1">
      <c r="A781" s="66"/>
    </row>
    <row r="782" ht="12.75" customHeight="1">
      <c r="A782" s="66"/>
    </row>
    <row r="783" ht="12.75" customHeight="1">
      <c r="A783" s="66"/>
    </row>
    <row r="784" ht="12.75" customHeight="1">
      <c r="A784" s="66"/>
    </row>
    <row r="785" ht="12.75" customHeight="1">
      <c r="A785" s="66"/>
    </row>
    <row r="786" ht="12.75" customHeight="1">
      <c r="A786" s="66"/>
    </row>
    <row r="787" ht="12.75" customHeight="1">
      <c r="A787" s="66"/>
    </row>
    <row r="788" ht="12.75" customHeight="1">
      <c r="A788" s="66"/>
    </row>
    <row r="789" ht="12.75" customHeight="1">
      <c r="A789" s="66"/>
    </row>
    <row r="790" ht="12.75" customHeight="1">
      <c r="A790" s="66"/>
    </row>
    <row r="791" ht="12.75" customHeight="1">
      <c r="A791" s="66"/>
    </row>
    <row r="792" ht="12.75" customHeight="1">
      <c r="A792" s="66"/>
    </row>
    <row r="793" ht="12.75" customHeight="1">
      <c r="A793" s="66"/>
    </row>
    <row r="794" ht="12.75" customHeight="1">
      <c r="A794" s="66"/>
    </row>
    <row r="795" ht="12.75" customHeight="1">
      <c r="A795" s="66"/>
    </row>
    <row r="796" ht="12.75" customHeight="1">
      <c r="A796" s="66"/>
    </row>
    <row r="797" ht="12.75" customHeight="1">
      <c r="A797" s="66"/>
    </row>
    <row r="798" ht="12.75" customHeight="1">
      <c r="A798" s="66"/>
    </row>
    <row r="799" ht="12.75" customHeight="1">
      <c r="A799" s="66"/>
    </row>
    <row r="800" ht="12.75" customHeight="1">
      <c r="A800" s="66"/>
    </row>
    <row r="801" ht="12.75" customHeight="1">
      <c r="A801" s="66"/>
    </row>
    <row r="802" ht="12.75" customHeight="1">
      <c r="A802" s="66"/>
    </row>
    <row r="803" ht="12.75" customHeight="1">
      <c r="A803" s="66"/>
    </row>
    <row r="804" ht="12.75" customHeight="1">
      <c r="A804" s="66"/>
    </row>
    <row r="805" ht="12.75" customHeight="1">
      <c r="A805" s="66"/>
    </row>
    <row r="806" ht="12.75" customHeight="1">
      <c r="A806" s="66"/>
    </row>
    <row r="807" ht="12.75" customHeight="1">
      <c r="A807" s="66"/>
    </row>
    <row r="808" ht="12.75" customHeight="1">
      <c r="A808" s="66"/>
    </row>
    <row r="809" ht="12.75" customHeight="1">
      <c r="A809" s="66"/>
    </row>
    <row r="810" ht="12.75" customHeight="1">
      <c r="A810" s="66"/>
    </row>
    <row r="811" ht="12.75" customHeight="1">
      <c r="A811" s="66"/>
    </row>
    <row r="812" ht="12.75" customHeight="1">
      <c r="A812" s="66"/>
    </row>
    <row r="813" ht="12.75" customHeight="1">
      <c r="A813" s="66"/>
    </row>
    <row r="814" ht="12.75" customHeight="1">
      <c r="A814" s="66"/>
    </row>
    <row r="815" ht="12.75" customHeight="1">
      <c r="A815" s="66"/>
    </row>
    <row r="816" ht="12.75" customHeight="1">
      <c r="A816" s="66"/>
    </row>
    <row r="817" ht="12.75" customHeight="1">
      <c r="A817" s="66"/>
    </row>
    <row r="818" ht="12.75" customHeight="1">
      <c r="A818" s="66"/>
    </row>
    <row r="819" ht="12.75" customHeight="1">
      <c r="A819" s="66"/>
    </row>
    <row r="820" ht="12.75" customHeight="1">
      <c r="A820" s="66"/>
    </row>
    <row r="821" ht="12.75" customHeight="1">
      <c r="A821" s="66"/>
    </row>
    <row r="822" ht="12.75" customHeight="1">
      <c r="A822" s="66"/>
    </row>
    <row r="823" ht="12.75" customHeight="1">
      <c r="A823" s="66"/>
    </row>
    <row r="824" ht="12.75" customHeight="1">
      <c r="A824" s="66"/>
    </row>
    <row r="825" ht="12.75" customHeight="1">
      <c r="A825" s="66"/>
    </row>
    <row r="826" ht="12.75" customHeight="1">
      <c r="A826" s="66"/>
    </row>
    <row r="827" ht="12.75" customHeight="1">
      <c r="A827" s="66"/>
    </row>
    <row r="828" ht="12.75" customHeight="1">
      <c r="A828" s="66"/>
    </row>
    <row r="829" ht="12.75" customHeight="1">
      <c r="A829" s="66"/>
    </row>
    <row r="830" ht="12.75" customHeight="1">
      <c r="A830" s="66"/>
    </row>
    <row r="831" ht="12.75" customHeight="1">
      <c r="A831" s="66"/>
    </row>
    <row r="832" ht="12.75" customHeight="1">
      <c r="A832" s="66"/>
    </row>
    <row r="833" ht="12.75" customHeight="1">
      <c r="A833" s="66"/>
    </row>
    <row r="834" ht="12.75" customHeight="1">
      <c r="A834" s="66"/>
    </row>
    <row r="835" ht="12.75" customHeight="1">
      <c r="A835" s="66"/>
    </row>
    <row r="836" ht="12.75" customHeight="1">
      <c r="A836" s="66"/>
    </row>
    <row r="837" ht="12.75" customHeight="1">
      <c r="A837" s="66"/>
    </row>
    <row r="838" ht="12.75" customHeight="1">
      <c r="A838" s="66"/>
    </row>
    <row r="839" ht="12.75" customHeight="1">
      <c r="A839" s="66"/>
    </row>
    <row r="840" ht="12.75" customHeight="1">
      <c r="A840" s="66"/>
    </row>
    <row r="841" ht="12.75" customHeight="1">
      <c r="A841" s="66"/>
    </row>
    <row r="842" ht="12.75" customHeight="1">
      <c r="A842" s="66"/>
    </row>
    <row r="843" ht="12.75" customHeight="1">
      <c r="A843" s="66"/>
    </row>
    <row r="844" ht="12.75" customHeight="1">
      <c r="A844" s="66"/>
    </row>
    <row r="845" ht="12.75" customHeight="1">
      <c r="A845" s="66"/>
    </row>
    <row r="846" ht="12.75" customHeight="1">
      <c r="A846" s="66"/>
    </row>
    <row r="847" ht="12.75" customHeight="1">
      <c r="A847" s="66"/>
    </row>
    <row r="848" ht="12.75" customHeight="1">
      <c r="A848" s="66"/>
    </row>
    <row r="849" ht="12.75" customHeight="1">
      <c r="A849" s="66"/>
    </row>
    <row r="850" ht="12.75" customHeight="1">
      <c r="A850" s="66"/>
    </row>
    <row r="851" ht="12.75" customHeight="1">
      <c r="A851" s="66"/>
    </row>
    <row r="852" ht="12.75" customHeight="1">
      <c r="A852" s="66"/>
    </row>
    <row r="853" ht="12.75" customHeight="1">
      <c r="A853" s="66"/>
    </row>
    <row r="854" ht="12.75" customHeight="1">
      <c r="A854" s="66"/>
    </row>
    <row r="855" ht="12.75" customHeight="1">
      <c r="A855" s="66"/>
    </row>
    <row r="856" ht="12.75" customHeight="1">
      <c r="A856" s="66"/>
    </row>
    <row r="857" ht="12.75" customHeight="1">
      <c r="A857" s="66"/>
    </row>
    <row r="858" ht="12.75" customHeight="1">
      <c r="A858" s="66"/>
    </row>
    <row r="859" ht="12.75" customHeight="1">
      <c r="A859" s="66"/>
    </row>
    <row r="860" ht="12.75" customHeight="1">
      <c r="A860" s="66"/>
    </row>
    <row r="861" ht="12.75" customHeight="1">
      <c r="A861" s="66"/>
    </row>
    <row r="862" ht="12.75" customHeight="1">
      <c r="A862" s="66"/>
    </row>
    <row r="863" ht="12.75" customHeight="1">
      <c r="A863" s="66"/>
    </row>
    <row r="864" ht="12.75" customHeight="1">
      <c r="A864" s="66"/>
    </row>
    <row r="865" ht="12.75" customHeight="1">
      <c r="A865" s="66"/>
    </row>
    <row r="866" ht="12.75" customHeight="1">
      <c r="A866" s="66"/>
    </row>
    <row r="867" ht="12.75" customHeight="1">
      <c r="A867" s="66"/>
    </row>
    <row r="868" ht="12.75" customHeight="1">
      <c r="A868" s="66"/>
    </row>
    <row r="869" ht="12.75" customHeight="1">
      <c r="A869" s="66"/>
    </row>
    <row r="870" ht="12.75" customHeight="1">
      <c r="A870" s="66"/>
    </row>
    <row r="871" ht="12.75" customHeight="1">
      <c r="A871" s="66"/>
    </row>
    <row r="872" ht="12.75" customHeight="1">
      <c r="A872" s="66"/>
    </row>
    <row r="873" ht="12.75" customHeight="1">
      <c r="A873" s="66"/>
    </row>
    <row r="874" ht="12.75" customHeight="1">
      <c r="A874" s="66"/>
    </row>
    <row r="875" ht="12.75" customHeight="1">
      <c r="A875" s="66"/>
    </row>
    <row r="876" ht="12.75" customHeight="1">
      <c r="A876" s="66"/>
    </row>
    <row r="877" ht="12.75" customHeight="1">
      <c r="A877" s="66"/>
    </row>
    <row r="878" ht="12.75" customHeight="1">
      <c r="A878" s="66"/>
    </row>
    <row r="879" ht="12.75" customHeight="1">
      <c r="A879" s="66"/>
    </row>
    <row r="880" ht="12.75" customHeight="1">
      <c r="A880" s="66"/>
    </row>
    <row r="881" ht="12.75" customHeight="1">
      <c r="A881" s="66"/>
    </row>
    <row r="882" ht="12.75" customHeight="1">
      <c r="A882" s="66"/>
    </row>
    <row r="883" ht="12.75" customHeight="1">
      <c r="A883" s="66"/>
    </row>
    <row r="884" ht="12.75" customHeight="1">
      <c r="A884" s="66"/>
    </row>
    <row r="885" ht="12.75" customHeight="1">
      <c r="A885" s="66"/>
    </row>
    <row r="886" ht="12.75" customHeight="1">
      <c r="A886" s="66"/>
    </row>
    <row r="887" ht="12.75" customHeight="1">
      <c r="A887" s="66"/>
    </row>
    <row r="888" ht="12.75" customHeight="1">
      <c r="A888" s="66"/>
    </row>
    <row r="889" ht="12.75" customHeight="1">
      <c r="A889" s="66"/>
    </row>
    <row r="890" ht="12.75" customHeight="1">
      <c r="A890" s="66"/>
    </row>
    <row r="891" ht="12.75" customHeight="1">
      <c r="A891" s="66"/>
    </row>
    <row r="892" ht="12.75" customHeight="1">
      <c r="A892" s="66"/>
    </row>
    <row r="893" ht="12.75" customHeight="1">
      <c r="A893" s="66"/>
    </row>
    <row r="894" ht="12.75" customHeight="1">
      <c r="A894" s="66"/>
    </row>
    <row r="895" ht="12.75" customHeight="1">
      <c r="A895" s="66"/>
    </row>
    <row r="896" ht="12.75" customHeight="1">
      <c r="A896" s="66"/>
    </row>
    <row r="897" ht="12.75" customHeight="1">
      <c r="A897" s="66"/>
    </row>
    <row r="898" ht="12.75" customHeight="1">
      <c r="A898" s="66"/>
    </row>
    <row r="899" ht="12.75" customHeight="1">
      <c r="A899" s="66"/>
    </row>
    <row r="900" ht="12.75" customHeight="1">
      <c r="A900" s="66"/>
    </row>
    <row r="901" ht="12.75" customHeight="1">
      <c r="A901" s="66"/>
    </row>
    <row r="902" ht="12.75" customHeight="1">
      <c r="A902" s="66"/>
    </row>
    <row r="903" ht="12.75" customHeight="1">
      <c r="A903" s="66"/>
    </row>
    <row r="904" ht="12.75" customHeight="1">
      <c r="A904" s="66"/>
    </row>
    <row r="905" ht="12.75" customHeight="1">
      <c r="A905" s="66"/>
    </row>
    <row r="906" ht="12.75" customHeight="1">
      <c r="A906" s="66"/>
    </row>
    <row r="907" ht="12.75" customHeight="1">
      <c r="A907" s="66"/>
    </row>
    <row r="908" ht="12.75" customHeight="1">
      <c r="A908" s="66"/>
    </row>
    <row r="909" ht="12.75" customHeight="1">
      <c r="A909" s="66"/>
    </row>
    <row r="910" ht="12.75" customHeight="1">
      <c r="A910" s="66"/>
    </row>
    <row r="911" ht="12.75" customHeight="1">
      <c r="A911" s="66"/>
    </row>
    <row r="912" ht="12.75" customHeight="1">
      <c r="A912" s="66"/>
    </row>
    <row r="913" ht="12.75" customHeight="1">
      <c r="A913" s="66"/>
    </row>
    <row r="914" ht="12.75" customHeight="1">
      <c r="A914" s="66"/>
    </row>
    <row r="915" ht="12.75" customHeight="1">
      <c r="A915" s="66"/>
    </row>
    <row r="916" ht="12.75" customHeight="1">
      <c r="A916" s="66"/>
    </row>
    <row r="917" ht="12.75" customHeight="1">
      <c r="A917" s="66"/>
    </row>
    <row r="918" ht="12.75" customHeight="1">
      <c r="A918" s="66"/>
    </row>
    <row r="919" ht="12.75" customHeight="1">
      <c r="A919" s="66"/>
    </row>
    <row r="920" ht="12.75" customHeight="1">
      <c r="A920" s="66"/>
    </row>
    <row r="921" ht="12.75" customHeight="1">
      <c r="A921" s="66"/>
    </row>
    <row r="922" ht="12.75" customHeight="1">
      <c r="A922" s="66"/>
    </row>
    <row r="923" ht="12.75" customHeight="1">
      <c r="A923" s="66"/>
    </row>
    <row r="924" ht="12.75" customHeight="1">
      <c r="A924" s="66"/>
    </row>
    <row r="925" ht="12.75" customHeight="1">
      <c r="A925" s="66"/>
    </row>
    <row r="926" ht="12.75" customHeight="1">
      <c r="A926" s="66"/>
    </row>
    <row r="927" ht="12.75" customHeight="1">
      <c r="A927" s="66"/>
    </row>
    <row r="928" ht="12.75" customHeight="1">
      <c r="A928" s="66"/>
    </row>
    <row r="929" ht="12.75" customHeight="1">
      <c r="A929" s="66"/>
    </row>
    <row r="930" ht="12.75" customHeight="1">
      <c r="A930" s="66"/>
    </row>
  </sheetData>
  <mergeCells count="11">
    <mergeCell ref="A18:B18"/>
    <mergeCell ref="A28:B28"/>
    <mergeCell ref="A57:B57"/>
    <mergeCell ref="A58:B58"/>
    <mergeCell ref="A1:F1"/>
    <mergeCell ref="A2:A3"/>
    <mergeCell ref="B2:B3"/>
    <mergeCell ref="E2:E3"/>
    <mergeCell ref="F2:F3"/>
    <mergeCell ref="A4:F4"/>
    <mergeCell ref="A10:B10"/>
  </mergeCells>
  <dataValidations>
    <dataValidation type="list" allowBlank="1" showErrorMessage="1" sqref="E5:E9 E12:E17 E20:E27 E30:E34 E36:E42 E44:E48 E50:E53 E55:E56">
      <formula1>"Completed,Not Yet"</formula1>
    </dataValidation>
  </dataValidations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1.57"/>
    <col customWidth="1" min="3" max="3" width="15.29"/>
    <col customWidth="1" min="4" max="4" width="14.0"/>
    <col customWidth="1" min="5" max="5" width="16.14"/>
    <col customWidth="1" min="6" max="6" width="48.14"/>
    <col customWidth="1" min="8" max="8" width="18.29"/>
    <col customWidth="1" min="10" max="10" width="21.14"/>
  </cols>
  <sheetData>
    <row r="1" ht="57.0" customHeight="1">
      <c r="A1" s="1" t="s">
        <v>0</v>
      </c>
    </row>
    <row r="2">
      <c r="A2" s="3" t="s">
        <v>6</v>
      </c>
      <c r="B2" s="3" t="s">
        <v>10</v>
      </c>
      <c r="C2" s="6" t="s">
        <v>12</v>
      </c>
      <c r="D2" s="6" t="s">
        <v>17</v>
      </c>
      <c r="E2" s="3" t="s">
        <v>20</v>
      </c>
      <c r="F2" s="3" t="s">
        <v>22</v>
      </c>
    </row>
    <row r="3">
      <c r="A3" s="8"/>
      <c r="B3" s="8"/>
      <c r="C3" s="6" t="s">
        <v>34</v>
      </c>
      <c r="D3" s="6" t="s">
        <v>37</v>
      </c>
      <c r="E3" s="8"/>
      <c r="F3" s="8"/>
    </row>
    <row r="4">
      <c r="A4" s="19" t="s">
        <v>39</v>
      </c>
      <c r="B4" s="21"/>
      <c r="C4" s="21"/>
      <c r="D4" s="21"/>
      <c r="E4" s="21"/>
      <c r="F4" s="23"/>
    </row>
    <row r="5">
      <c r="A5" s="25" t="s">
        <v>47</v>
      </c>
      <c r="B5" s="27" t="s">
        <v>51</v>
      </c>
      <c r="C5" s="29"/>
      <c r="D5" s="29"/>
      <c r="E5" s="29"/>
      <c r="F5" s="29"/>
    </row>
    <row r="6">
      <c r="A6" s="13">
        <v>1.0</v>
      </c>
      <c r="B6" s="28" t="s">
        <v>64</v>
      </c>
      <c r="C6" s="32">
        <v>1500.0</v>
      </c>
      <c r="D6" s="32">
        <v>1500.0</v>
      </c>
      <c r="E6" s="18" t="s">
        <v>48</v>
      </c>
      <c r="F6" s="35"/>
    </row>
    <row r="7">
      <c r="A7" s="13">
        <v>2.0</v>
      </c>
      <c r="B7" s="14" t="s">
        <v>75</v>
      </c>
      <c r="C7" s="16">
        <v>1.0</v>
      </c>
      <c r="D7" s="16" t="s">
        <v>54</v>
      </c>
      <c r="E7" s="18" t="s">
        <v>41</v>
      </c>
      <c r="F7" s="16" t="s">
        <v>72</v>
      </c>
    </row>
    <row r="8">
      <c r="A8" s="13">
        <v>3.0</v>
      </c>
      <c r="B8" s="14" t="s">
        <v>79</v>
      </c>
      <c r="C8" s="16">
        <v>20.0</v>
      </c>
      <c r="D8" s="16">
        <v>12.5</v>
      </c>
      <c r="E8" s="18" t="s">
        <v>41</v>
      </c>
      <c r="F8" s="16" t="s">
        <v>43</v>
      </c>
    </row>
    <row r="9">
      <c r="A9" s="13">
        <v>4.0</v>
      </c>
      <c r="B9" s="14" t="s">
        <v>84</v>
      </c>
      <c r="C9" s="16" t="s">
        <v>54</v>
      </c>
      <c r="D9" s="16" t="s">
        <v>54</v>
      </c>
      <c r="E9" s="18" t="s">
        <v>48</v>
      </c>
      <c r="F9" s="26"/>
    </row>
    <row r="10">
      <c r="A10" s="13">
        <v>5.0</v>
      </c>
      <c r="B10" s="28" t="s">
        <v>82</v>
      </c>
      <c r="C10" s="16">
        <v>50.0</v>
      </c>
      <c r="D10" s="16">
        <v>50.0</v>
      </c>
      <c r="E10" s="18" t="s">
        <v>48</v>
      </c>
      <c r="F10" s="26"/>
    </row>
    <row r="11">
      <c r="A11" s="13">
        <v>6.0</v>
      </c>
      <c r="B11" s="28" t="s">
        <v>87</v>
      </c>
      <c r="C11" s="16">
        <v>80.0</v>
      </c>
      <c r="D11" s="16">
        <v>80.0</v>
      </c>
      <c r="E11" s="18" t="s">
        <v>48</v>
      </c>
      <c r="F11" s="26"/>
      <c r="H11" s="15">
        <f>sum(C14:C16)+735</f>
        <v>1635</v>
      </c>
    </row>
    <row r="12">
      <c r="A12" s="13"/>
      <c r="B12" s="28" t="s">
        <v>99</v>
      </c>
      <c r="C12" s="16" t="s">
        <v>54</v>
      </c>
      <c r="D12" s="16" t="s">
        <v>54</v>
      </c>
      <c r="E12" s="18" t="s">
        <v>41</v>
      </c>
      <c r="F12" s="26"/>
    </row>
    <row r="13">
      <c r="A13" s="25" t="s">
        <v>105</v>
      </c>
      <c r="B13" s="37" t="s">
        <v>106</v>
      </c>
      <c r="C13" s="39"/>
      <c r="D13" s="39"/>
      <c r="E13" s="39"/>
      <c r="F13" s="39"/>
    </row>
    <row r="14">
      <c r="A14" s="13">
        <v>1.0</v>
      </c>
      <c r="B14" s="14" t="s">
        <v>113</v>
      </c>
      <c r="C14" s="16">
        <v>650.0</v>
      </c>
      <c r="D14" s="16">
        <v>700.0</v>
      </c>
      <c r="E14" s="18" t="s">
        <v>48</v>
      </c>
      <c r="F14" s="16" t="s">
        <v>100</v>
      </c>
    </row>
    <row r="15">
      <c r="A15" s="13">
        <v>2.0</v>
      </c>
      <c r="B15" s="14" t="s">
        <v>118</v>
      </c>
      <c r="C15" s="16" t="s">
        <v>54</v>
      </c>
      <c r="D15" s="16" t="s">
        <v>54</v>
      </c>
      <c r="E15" s="18" t="s">
        <v>41</v>
      </c>
      <c r="F15" s="26"/>
    </row>
    <row r="16">
      <c r="A16" s="33">
        <v>3.0</v>
      </c>
      <c r="B16" s="28" t="s">
        <v>107</v>
      </c>
      <c r="C16" s="16">
        <v>250.0</v>
      </c>
      <c r="D16" s="16">
        <v>200.0</v>
      </c>
      <c r="E16" s="18" t="s">
        <v>41</v>
      </c>
      <c r="F16" s="16" t="s">
        <v>124</v>
      </c>
    </row>
    <row r="17">
      <c r="A17" s="25" t="s">
        <v>125</v>
      </c>
      <c r="B17" s="37" t="s">
        <v>127</v>
      </c>
      <c r="C17" s="39"/>
      <c r="D17" s="39"/>
      <c r="E17" s="39"/>
      <c r="F17" s="39"/>
      <c r="H17" s="31" t="s">
        <v>129</v>
      </c>
    </row>
    <row r="18">
      <c r="A18" s="13">
        <v>1.0</v>
      </c>
      <c r="B18" s="14" t="s">
        <v>133</v>
      </c>
      <c r="C18" s="16">
        <v>650.0</v>
      </c>
      <c r="D18" s="16">
        <v>700.0</v>
      </c>
      <c r="E18" s="18" t="s">
        <v>48</v>
      </c>
      <c r="F18" s="16" t="s">
        <v>100</v>
      </c>
      <c r="H18" s="31" t="s">
        <v>137</v>
      </c>
      <c r="I18" s="15">
        <f>sum(C14:C16)+725+300</f>
        <v>1925</v>
      </c>
    </row>
    <row r="19">
      <c r="A19" s="33">
        <v>2.0</v>
      </c>
      <c r="B19" s="28" t="s">
        <v>144</v>
      </c>
      <c r="C19" s="16">
        <v>200.0</v>
      </c>
      <c r="D19" s="26"/>
      <c r="E19" s="18" t="s">
        <v>48</v>
      </c>
      <c r="F19" s="26"/>
      <c r="H19" s="31" t="s">
        <v>148</v>
      </c>
      <c r="I19" s="15">
        <f>sum(C6:C11)+sum(C18:C24)+sum(C26:C52)+725+200+300+50</f>
        <v>24156</v>
      </c>
      <c r="J19" s="31" t="s">
        <v>158</v>
      </c>
      <c r="K19" s="15">
        <f>I19-13000</f>
        <v>11156</v>
      </c>
    </row>
    <row r="20">
      <c r="A20" s="13">
        <v>3.0</v>
      </c>
      <c r="B20" s="28" t="s">
        <v>122</v>
      </c>
      <c r="C20" s="16" t="s">
        <v>54</v>
      </c>
      <c r="D20" s="16" t="s">
        <v>54</v>
      </c>
      <c r="E20" s="18" t="s">
        <v>48</v>
      </c>
      <c r="F20" s="26"/>
    </row>
    <row r="21">
      <c r="A21" s="33">
        <v>4.0</v>
      </c>
      <c r="B21" s="14" t="s">
        <v>165</v>
      </c>
      <c r="C21" s="16">
        <v>50.0</v>
      </c>
      <c r="D21" s="16" t="s">
        <v>54</v>
      </c>
      <c r="E21" s="18" t="s">
        <v>41</v>
      </c>
      <c r="F21" s="16" t="s">
        <v>72</v>
      </c>
    </row>
    <row r="22">
      <c r="A22" s="13">
        <v>5.0</v>
      </c>
      <c r="B22" s="14" t="s">
        <v>168</v>
      </c>
      <c r="C22" s="16" t="s">
        <v>54</v>
      </c>
      <c r="D22" s="16" t="s">
        <v>54</v>
      </c>
      <c r="E22" s="18" t="s">
        <v>41</v>
      </c>
      <c r="F22" s="16" t="s">
        <v>72</v>
      </c>
    </row>
    <row r="23">
      <c r="A23" s="33">
        <v>6.0</v>
      </c>
      <c r="B23" s="14" t="s">
        <v>171</v>
      </c>
      <c r="C23" s="16">
        <v>30.0</v>
      </c>
      <c r="D23" s="16" t="s">
        <v>54</v>
      </c>
      <c r="E23" s="18" t="s">
        <v>41</v>
      </c>
      <c r="F23" s="16" t="s">
        <v>72</v>
      </c>
    </row>
    <row r="24">
      <c r="A24" s="13">
        <v>7.0</v>
      </c>
      <c r="B24" s="14" t="s">
        <v>173</v>
      </c>
      <c r="C24" s="16">
        <v>20.0</v>
      </c>
      <c r="D24" s="16">
        <v>20.0</v>
      </c>
      <c r="E24" s="18" t="s">
        <v>48</v>
      </c>
      <c r="F24" s="26"/>
      <c r="H24" s="31" t="s">
        <v>175</v>
      </c>
    </row>
    <row r="25">
      <c r="A25" s="25" t="s">
        <v>176</v>
      </c>
      <c r="B25" s="37" t="s">
        <v>178</v>
      </c>
      <c r="C25" s="39"/>
      <c r="D25" s="39"/>
      <c r="E25" s="39"/>
      <c r="F25" s="39"/>
      <c r="H25" s="31" t="s">
        <v>137</v>
      </c>
      <c r="I25" s="15">
        <f>sum(D14:D16)+725+300</f>
        <v>1925</v>
      </c>
    </row>
    <row r="26">
      <c r="A26" s="13">
        <v>1.0</v>
      </c>
      <c r="B26" s="14" t="s">
        <v>182</v>
      </c>
      <c r="C26" s="16">
        <v>200.0</v>
      </c>
      <c r="D26" s="16">
        <v>200.0</v>
      </c>
      <c r="E26" s="18" t="s">
        <v>48</v>
      </c>
      <c r="F26" s="26"/>
      <c r="H26" s="31" t="s">
        <v>148</v>
      </c>
      <c r="I26" s="15">
        <f>sum(D6:D12)+sum(D18:D24)+sum(D26:D52)+725+300+50</f>
        <v>23742.5</v>
      </c>
      <c r="J26" s="31" t="s">
        <v>158</v>
      </c>
      <c r="K26" s="15">
        <f>I26-13000</f>
        <v>10742.5</v>
      </c>
    </row>
    <row r="27">
      <c r="A27" s="13">
        <v>2.0</v>
      </c>
      <c r="B27" s="28" t="s">
        <v>186</v>
      </c>
      <c r="C27" s="16">
        <v>3600.0</v>
      </c>
      <c r="D27" s="16">
        <v>3600.0</v>
      </c>
      <c r="E27" s="18" t="s">
        <v>48</v>
      </c>
      <c r="F27" s="26"/>
    </row>
    <row r="28">
      <c r="A28" s="13">
        <v>3.0</v>
      </c>
      <c r="B28" s="28" t="s">
        <v>180</v>
      </c>
      <c r="C28" s="16" t="s">
        <v>54</v>
      </c>
      <c r="D28" s="16" t="s">
        <v>54</v>
      </c>
      <c r="E28" s="18" t="s">
        <v>48</v>
      </c>
      <c r="F28" s="26"/>
    </row>
    <row r="29">
      <c r="A29" s="13">
        <v>4.0</v>
      </c>
      <c r="B29" s="28" t="s">
        <v>183</v>
      </c>
      <c r="C29" s="16">
        <v>30.0</v>
      </c>
      <c r="D29" s="16">
        <v>55.0</v>
      </c>
      <c r="E29" s="18" t="s">
        <v>48</v>
      </c>
      <c r="F29" s="26"/>
    </row>
    <row r="30">
      <c r="A30" s="13">
        <v>5.0</v>
      </c>
      <c r="B30" s="14" t="s">
        <v>197</v>
      </c>
      <c r="C30" s="16" t="s">
        <v>54</v>
      </c>
      <c r="D30" s="16" t="s">
        <v>54</v>
      </c>
      <c r="E30" s="18" t="s">
        <v>41</v>
      </c>
      <c r="F30" s="26"/>
    </row>
    <row r="31">
      <c r="A31" s="13">
        <v>6.0</v>
      </c>
      <c r="B31" s="14" t="s">
        <v>200</v>
      </c>
      <c r="C31" s="16" t="s">
        <v>54</v>
      </c>
      <c r="D31" s="16" t="s">
        <v>54</v>
      </c>
      <c r="E31" s="18" t="s">
        <v>41</v>
      </c>
      <c r="F31" s="26"/>
    </row>
    <row r="32">
      <c r="A32" s="13">
        <v>7.0</v>
      </c>
      <c r="B32" s="14" t="s">
        <v>208</v>
      </c>
      <c r="C32" s="16" t="s">
        <v>54</v>
      </c>
      <c r="D32" s="16" t="s">
        <v>54</v>
      </c>
      <c r="E32" s="18" t="s">
        <v>41</v>
      </c>
      <c r="F32" s="26"/>
    </row>
    <row r="33">
      <c r="A33" s="13">
        <v>8.0</v>
      </c>
      <c r="B33" s="14" t="s">
        <v>212</v>
      </c>
      <c r="C33" s="16" t="s">
        <v>54</v>
      </c>
      <c r="D33" s="16" t="s">
        <v>54</v>
      </c>
      <c r="E33" s="18" t="s">
        <v>41</v>
      </c>
      <c r="F33" s="26"/>
    </row>
    <row r="34">
      <c r="A34" s="13">
        <v>9.0</v>
      </c>
      <c r="B34" s="14" t="s">
        <v>215</v>
      </c>
      <c r="C34" s="16">
        <v>50.0</v>
      </c>
      <c r="D34" s="16">
        <v>50.0</v>
      </c>
      <c r="E34" s="18" t="s">
        <v>48</v>
      </c>
      <c r="F34" s="26"/>
    </row>
    <row r="35">
      <c r="A35" s="13">
        <v>10.0</v>
      </c>
      <c r="B35" s="14" t="s">
        <v>218</v>
      </c>
      <c r="C35" s="16" t="s">
        <v>54</v>
      </c>
      <c r="D35" s="16" t="s">
        <v>54</v>
      </c>
      <c r="E35" s="18" t="s">
        <v>41</v>
      </c>
      <c r="F35" s="26"/>
    </row>
    <row r="36">
      <c r="A36" s="13">
        <v>11.0</v>
      </c>
      <c r="B36" s="14" t="s">
        <v>221</v>
      </c>
      <c r="C36" s="16" t="s">
        <v>54</v>
      </c>
      <c r="D36" s="16" t="s">
        <v>54</v>
      </c>
      <c r="E36" s="18" t="s">
        <v>48</v>
      </c>
      <c r="F36" s="26"/>
    </row>
    <row r="37">
      <c r="A37" s="13">
        <v>12.0</v>
      </c>
      <c r="B37" s="14" t="s">
        <v>224</v>
      </c>
      <c r="C37" s="16" t="s">
        <v>54</v>
      </c>
      <c r="D37" s="16" t="s">
        <v>54</v>
      </c>
      <c r="E37" s="18" t="s">
        <v>48</v>
      </c>
      <c r="F37" s="26"/>
    </row>
    <row r="38">
      <c r="A38" s="13">
        <v>13.0</v>
      </c>
      <c r="B38" s="14" t="s">
        <v>226</v>
      </c>
      <c r="C38" s="16">
        <v>700.0</v>
      </c>
      <c r="D38" s="16">
        <v>700.0</v>
      </c>
      <c r="E38" s="18" t="s">
        <v>48</v>
      </c>
      <c r="F38" s="26"/>
    </row>
    <row r="39">
      <c r="A39" s="13">
        <v>14.0</v>
      </c>
      <c r="B39" s="14" t="s">
        <v>230</v>
      </c>
      <c r="C39" s="16" t="s">
        <v>54</v>
      </c>
      <c r="D39" s="16" t="s">
        <v>54</v>
      </c>
      <c r="E39" s="18" t="s">
        <v>48</v>
      </c>
      <c r="F39" s="26"/>
    </row>
    <row r="40">
      <c r="A40" s="13">
        <v>15.0</v>
      </c>
      <c r="B40" s="14" t="s">
        <v>232</v>
      </c>
      <c r="C40" s="16">
        <v>500.0</v>
      </c>
      <c r="D40" s="16">
        <v>500.0</v>
      </c>
      <c r="E40" s="18" t="s">
        <v>48</v>
      </c>
      <c r="F40" s="26"/>
    </row>
    <row r="41">
      <c r="A41" s="13">
        <v>16.0</v>
      </c>
      <c r="B41" s="28" t="s">
        <v>235</v>
      </c>
      <c r="C41" s="16">
        <v>300.0</v>
      </c>
      <c r="D41" s="16">
        <v>300.0</v>
      </c>
      <c r="E41" s="18" t="s">
        <v>48</v>
      </c>
      <c r="F41" s="26"/>
    </row>
    <row r="42">
      <c r="A42" s="13">
        <v>17.0</v>
      </c>
      <c r="B42" s="28" t="s">
        <v>237</v>
      </c>
      <c r="C42" s="16">
        <v>1000.0</v>
      </c>
      <c r="D42" s="16">
        <v>1000.0</v>
      </c>
      <c r="E42" s="18" t="s">
        <v>48</v>
      </c>
      <c r="F42" s="26"/>
    </row>
    <row r="43">
      <c r="A43" s="25" t="s">
        <v>238</v>
      </c>
      <c r="B43" s="37" t="s">
        <v>239</v>
      </c>
      <c r="C43" s="39"/>
      <c r="D43" s="39"/>
      <c r="E43" s="39"/>
      <c r="F43" s="39"/>
    </row>
    <row r="44">
      <c r="A44" s="13">
        <v>1.0</v>
      </c>
      <c r="B44" s="14" t="s">
        <v>243</v>
      </c>
      <c r="C44" s="16" t="s">
        <v>54</v>
      </c>
      <c r="D44" s="16" t="s">
        <v>54</v>
      </c>
      <c r="E44" s="18" t="s">
        <v>48</v>
      </c>
      <c r="F44" s="26"/>
    </row>
    <row r="45">
      <c r="A45" s="13">
        <v>2.0</v>
      </c>
      <c r="B45" s="14" t="s">
        <v>250</v>
      </c>
      <c r="C45" s="16">
        <v>1500.0</v>
      </c>
      <c r="D45" s="16">
        <v>1500.0</v>
      </c>
      <c r="E45" s="18" t="s">
        <v>48</v>
      </c>
      <c r="F45" s="26"/>
    </row>
    <row r="46">
      <c r="A46" s="13">
        <v>3.0</v>
      </c>
      <c r="B46" s="14" t="s">
        <v>254</v>
      </c>
      <c r="C46" s="16">
        <v>10000.0</v>
      </c>
      <c r="D46" s="16">
        <v>10000.0</v>
      </c>
      <c r="E46" s="18" t="s">
        <v>48</v>
      </c>
      <c r="F46" s="26"/>
    </row>
    <row r="47">
      <c r="A47" s="13">
        <v>4.0</v>
      </c>
      <c r="B47" s="28" t="s">
        <v>257</v>
      </c>
      <c r="C47" s="16">
        <v>500.0</v>
      </c>
      <c r="D47" s="16">
        <v>500.0</v>
      </c>
      <c r="E47" s="18" t="s">
        <v>48</v>
      </c>
      <c r="F47" s="26"/>
    </row>
    <row r="48">
      <c r="A48" s="13">
        <v>5.0</v>
      </c>
      <c r="B48" s="28" t="s">
        <v>262</v>
      </c>
      <c r="C48" s="16">
        <v>500.0</v>
      </c>
      <c r="D48" s="16">
        <v>500.0</v>
      </c>
      <c r="E48" s="18" t="s">
        <v>48</v>
      </c>
      <c r="F48" s="26"/>
    </row>
    <row r="49">
      <c r="A49" s="13">
        <v>6.0</v>
      </c>
      <c r="B49" s="28" t="s">
        <v>264</v>
      </c>
      <c r="C49" s="16">
        <v>500.0</v>
      </c>
      <c r="D49" s="16">
        <v>500.0</v>
      </c>
      <c r="E49" s="18" t="s">
        <v>48</v>
      </c>
      <c r="F49" s="26"/>
    </row>
    <row r="50">
      <c r="A50" s="13">
        <v>7.0</v>
      </c>
      <c r="B50" s="28" t="s">
        <v>271</v>
      </c>
      <c r="C50" s="16">
        <v>500.0</v>
      </c>
      <c r="D50" s="16">
        <v>500.0</v>
      </c>
      <c r="E50" s="18" t="s">
        <v>48</v>
      </c>
      <c r="F50" s="26"/>
    </row>
    <row r="51">
      <c r="A51" s="13">
        <v>8.0</v>
      </c>
      <c r="B51" s="28" t="s">
        <v>273</v>
      </c>
      <c r="C51" s="16">
        <v>200.0</v>
      </c>
      <c r="D51" s="16">
        <v>200.0</v>
      </c>
      <c r="E51" s="18" t="s">
        <v>48</v>
      </c>
      <c r="F51" s="26"/>
    </row>
    <row r="52">
      <c r="A52" s="13">
        <v>9.0</v>
      </c>
      <c r="B52" s="14" t="s">
        <v>275</v>
      </c>
      <c r="C52" s="16">
        <v>200.0</v>
      </c>
      <c r="D52" s="16">
        <v>200.0</v>
      </c>
      <c r="E52" s="18" t="s">
        <v>48</v>
      </c>
      <c r="F52" s="26"/>
    </row>
    <row r="53">
      <c r="A53" s="25" t="s">
        <v>277</v>
      </c>
      <c r="B53" s="37" t="s">
        <v>278</v>
      </c>
      <c r="C53" s="60"/>
      <c r="D53" s="60"/>
      <c r="E53" s="39"/>
      <c r="F53" s="39"/>
    </row>
    <row r="54">
      <c r="A54" s="13">
        <v>1.0</v>
      </c>
      <c r="B54" s="62" t="s">
        <v>249</v>
      </c>
      <c r="C54" s="63">
        <v>1450.0</v>
      </c>
      <c r="D54" s="63">
        <v>1450.0</v>
      </c>
      <c r="E54" s="18" t="s">
        <v>41</v>
      </c>
      <c r="F54" s="26"/>
    </row>
    <row r="55">
      <c r="A55" s="13">
        <v>2.0</v>
      </c>
      <c r="B55" s="62" t="s">
        <v>281</v>
      </c>
      <c r="C55" s="63">
        <v>200.0</v>
      </c>
      <c r="D55" s="63">
        <v>200.0</v>
      </c>
      <c r="E55" s="18" t="s">
        <v>48</v>
      </c>
      <c r="F55" s="26"/>
    </row>
    <row r="56">
      <c r="A56" s="13">
        <v>3.0</v>
      </c>
      <c r="B56" s="14" t="s">
        <v>284</v>
      </c>
      <c r="C56" s="67" t="s">
        <v>54</v>
      </c>
      <c r="D56" s="67" t="s">
        <v>54</v>
      </c>
      <c r="E56" s="18" t="s">
        <v>48</v>
      </c>
      <c r="F56" s="26"/>
    </row>
    <row r="57">
      <c r="A57" s="25" t="s">
        <v>286</v>
      </c>
      <c r="B57" s="37" t="s">
        <v>288</v>
      </c>
      <c r="C57" s="39"/>
      <c r="D57" s="39"/>
      <c r="E57" s="39"/>
      <c r="F57" s="39"/>
    </row>
    <row r="58">
      <c r="A58" s="13">
        <v>1.0</v>
      </c>
      <c r="B58" s="14" t="s">
        <v>293</v>
      </c>
      <c r="C58" s="16" t="s">
        <v>294</v>
      </c>
      <c r="D58" s="16" t="s">
        <v>295</v>
      </c>
      <c r="E58" s="18" t="s">
        <v>48</v>
      </c>
      <c r="F58" s="26"/>
    </row>
    <row r="59">
      <c r="A59" s="13">
        <v>2.0</v>
      </c>
      <c r="B59" s="14" t="s">
        <v>299</v>
      </c>
      <c r="C59" s="16" t="s">
        <v>54</v>
      </c>
      <c r="D59" s="16" t="s">
        <v>54</v>
      </c>
      <c r="E59" s="18" t="s">
        <v>48</v>
      </c>
      <c r="F59" s="26"/>
    </row>
    <row r="60">
      <c r="A60" s="13">
        <v>3.0</v>
      </c>
      <c r="B60" s="14" t="s">
        <v>303</v>
      </c>
      <c r="C60" s="16" t="s">
        <v>304</v>
      </c>
      <c r="D60" s="16" t="s">
        <v>54</v>
      </c>
      <c r="E60" s="18" t="s">
        <v>48</v>
      </c>
      <c r="F60" s="26"/>
    </row>
    <row r="61">
      <c r="A61" s="13">
        <v>4.0</v>
      </c>
      <c r="B61" s="73" t="s">
        <v>308</v>
      </c>
      <c r="C61" s="74"/>
      <c r="D61" s="74"/>
      <c r="E61" s="18" t="s">
        <v>48</v>
      </c>
      <c r="F61" s="74"/>
    </row>
    <row r="62">
      <c r="A62" s="13">
        <v>5.0</v>
      </c>
      <c r="B62" s="28" t="s">
        <v>313</v>
      </c>
      <c r="C62" s="16">
        <v>600.0</v>
      </c>
      <c r="D62" s="16">
        <v>600.0</v>
      </c>
      <c r="E62" s="18" t="s">
        <v>48</v>
      </c>
      <c r="F62" s="26"/>
    </row>
    <row r="63">
      <c r="A63" s="13">
        <v>6.0</v>
      </c>
      <c r="B63" s="14" t="s">
        <v>316</v>
      </c>
      <c r="C63" s="16" t="s">
        <v>54</v>
      </c>
      <c r="D63" s="16" t="s">
        <v>54</v>
      </c>
      <c r="E63" s="18" t="s">
        <v>48</v>
      </c>
      <c r="F63" s="26"/>
    </row>
    <row r="64">
      <c r="A64" s="13">
        <v>7.0</v>
      </c>
      <c r="B64" s="14" t="s">
        <v>317</v>
      </c>
      <c r="C64" s="16">
        <v>50.0</v>
      </c>
      <c r="D64" s="16">
        <v>50.0</v>
      </c>
      <c r="E64" s="18" t="s">
        <v>48</v>
      </c>
      <c r="F64" s="26"/>
    </row>
    <row r="65">
      <c r="A65" s="61" t="s">
        <v>320</v>
      </c>
      <c r="B65" s="12"/>
      <c r="C65" s="64">
        <f t="shared" ref="C65:D65" si="1">SUM(C2:C64)</f>
        <v>26081</v>
      </c>
      <c r="D65" s="64">
        <f t="shared" si="1"/>
        <v>25867.5</v>
      </c>
      <c r="E65" s="64"/>
      <c r="F65" s="26"/>
    </row>
    <row r="67">
      <c r="C67" s="68">
        <f t="shared" ref="C67:D67" si="2">C65-13000</f>
        <v>13081</v>
      </c>
      <c r="D67" s="68">
        <f t="shared" si="2"/>
        <v>12867.5</v>
      </c>
    </row>
    <row r="68">
      <c r="B68" s="31" t="s">
        <v>327</v>
      </c>
    </row>
  </sheetData>
  <mergeCells count="7">
    <mergeCell ref="A1:F1"/>
    <mergeCell ref="A2:A3"/>
    <mergeCell ref="B2:B3"/>
    <mergeCell ref="E2:E3"/>
    <mergeCell ref="F2:F3"/>
    <mergeCell ref="A4:F4"/>
    <mergeCell ref="A65:B65"/>
  </mergeCells>
  <dataValidations>
    <dataValidation type="list" allowBlank="1" showErrorMessage="1" sqref="E6:E12 E14:E16 E18:E24 E26:E42 E44:E52 E54:E56 E58:E64">
      <formula1>"Completed,Not Yet"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48.29"/>
    <col customWidth="1" min="3" max="3" width="14.43"/>
    <col customWidth="1" min="4" max="4" width="14.0"/>
    <col customWidth="1" min="5" max="5" width="16.86"/>
    <col customWidth="1" min="6" max="6" width="45.86"/>
  </cols>
  <sheetData>
    <row r="1" ht="57.0" customHeight="1">
      <c r="A1" s="1" t="s">
        <v>1</v>
      </c>
    </row>
    <row r="2">
      <c r="A2" s="3" t="s">
        <v>27</v>
      </c>
      <c r="B2" s="3" t="s">
        <v>29</v>
      </c>
      <c r="C2" s="6" t="s">
        <v>30</v>
      </c>
      <c r="D2" s="6" t="s">
        <v>31</v>
      </c>
      <c r="E2" s="3" t="s">
        <v>33</v>
      </c>
      <c r="F2" s="3" t="s">
        <v>36</v>
      </c>
    </row>
    <row r="3">
      <c r="A3" s="8"/>
      <c r="B3" s="8"/>
      <c r="C3" s="6" t="s">
        <v>40</v>
      </c>
      <c r="D3" s="6" t="s">
        <v>42</v>
      </c>
      <c r="E3" s="8"/>
      <c r="F3" s="8"/>
    </row>
    <row r="4">
      <c r="A4" s="19" t="s">
        <v>45</v>
      </c>
      <c r="B4" s="21"/>
      <c r="C4" s="21"/>
      <c r="D4" s="21"/>
      <c r="E4" s="21"/>
      <c r="F4" s="23"/>
    </row>
    <row r="5">
      <c r="A5" s="25" t="s">
        <v>49</v>
      </c>
      <c r="B5" s="27" t="s">
        <v>50</v>
      </c>
      <c r="C5" s="29"/>
      <c r="D5" s="29"/>
      <c r="E5" s="29"/>
      <c r="F5" s="29"/>
    </row>
    <row r="6">
      <c r="A6" s="13">
        <v>1.0</v>
      </c>
      <c r="B6" s="28" t="s">
        <v>57</v>
      </c>
      <c r="C6" s="32">
        <v>600.0</v>
      </c>
      <c r="D6" s="32">
        <v>600.0</v>
      </c>
      <c r="E6" s="18" t="s">
        <v>48</v>
      </c>
      <c r="F6" s="35"/>
    </row>
    <row r="7">
      <c r="A7" s="13">
        <v>2.0</v>
      </c>
      <c r="B7" s="14" t="s">
        <v>68</v>
      </c>
      <c r="C7" s="16">
        <v>50.0</v>
      </c>
      <c r="D7" s="16" t="s">
        <v>54</v>
      </c>
      <c r="E7" s="18" t="s">
        <v>41</v>
      </c>
      <c r="F7" s="16" t="s">
        <v>72</v>
      </c>
    </row>
    <row r="8">
      <c r="A8" s="13">
        <v>3.0</v>
      </c>
      <c r="B8" s="14" t="s">
        <v>74</v>
      </c>
      <c r="C8" s="16" t="s">
        <v>54</v>
      </c>
      <c r="D8" s="16" t="s">
        <v>54</v>
      </c>
      <c r="E8" s="18" t="s">
        <v>41</v>
      </c>
      <c r="F8" s="16" t="s">
        <v>76</v>
      </c>
    </row>
    <row r="9">
      <c r="A9" s="13">
        <v>4.0</v>
      </c>
      <c r="B9" s="14" t="s">
        <v>77</v>
      </c>
      <c r="C9" s="16" t="s">
        <v>54</v>
      </c>
      <c r="D9" s="16" t="s">
        <v>54</v>
      </c>
      <c r="E9" s="18" t="s">
        <v>41</v>
      </c>
      <c r="F9" s="26"/>
    </row>
    <row r="10">
      <c r="A10" s="13">
        <v>5.0</v>
      </c>
      <c r="B10" s="28" t="s">
        <v>82</v>
      </c>
      <c r="C10" s="16">
        <v>50.0</v>
      </c>
      <c r="D10" s="16" t="s">
        <v>54</v>
      </c>
      <c r="E10" s="18" t="s">
        <v>41</v>
      </c>
      <c r="F10" s="16" t="s">
        <v>86</v>
      </c>
    </row>
    <row r="11">
      <c r="A11" s="13">
        <v>6.0</v>
      </c>
      <c r="B11" s="28" t="s">
        <v>87</v>
      </c>
      <c r="C11" s="16">
        <v>80.0</v>
      </c>
      <c r="D11" s="16" t="s">
        <v>54</v>
      </c>
      <c r="E11" s="18" t="s">
        <v>41</v>
      </c>
      <c r="F11" s="16" t="s">
        <v>86</v>
      </c>
    </row>
    <row r="12">
      <c r="A12" s="25" t="s">
        <v>91</v>
      </c>
      <c r="B12" s="37" t="s">
        <v>93</v>
      </c>
      <c r="C12" s="39"/>
      <c r="D12" s="39"/>
      <c r="E12" s="39"/>
      <c r="F12" s="39"/>
    </row>
    <row r="13">
      <c r="A13" s="13">
        <v>1.0</v>
      </c>
      <c r="B13" s="14" t="s">
        <v>98</v>
      </c>
      <c r="C13" s="16">
        <v>650.0</v>
      </c>
      <c r="D13" s="16">
        <v>450.0</v>
      </c>
      <c r="E13" s="18" t="s">
        <v>48</v>
      </c>
      <c r="F13" s="16" t="s">
        <v>100</v>
      </c>
    </row>
    <row r="14">
      <c r="A14" s="13">
        <v>2.0</v>
      </c>
      <c r="B14" s="14" t="s">
        <v>103</v>
      </c>
      <c r="C14" s="16" t="s">
        <v>54</v>
      </c>
      <c r="D14" s="16" t="s">
        <v>54</v>
      </c>
      <c r="E14" s="18" t="s">
        <v>41</v>
      </c>
      <c r="F14" s="16" t="s">
        <v>104</v>
      </c>
    </row>
    <row r="15">
      <c r="A15" s="33">
        <v>3.0</v>
      </c>
      <c r="B15" s="28" t="s">
        <v>107</v>
      </c>
      <c r="C15" s="16">
        <v>250.0</v>
      </c>
      <c r="D15" s="16">
        <v>200.0</v>
      </c>
      <c r="E15" s="18" t="s">
        <v>41</v>
      </c>
      <c r="F15" s="16" t="s">
        <v>109</v>
      </c>
    </row>
    <row r="16">
      <c r="A16" s="25" t="s">
        <v>112</v>
      </c>
      <c r="B16" s="37" t="s">
        <v>115</v>
      </c>
      <c r="C16" s="39"/>
      <c r="D16" s="39"/>
      <c r="E16" s="39"/>
      <c r="F16" s="39"/>
    </row>
    <row r="17">
      <c r="A17" s="13">
        <v>1.0</v>
      </c>
      <c r="B17" s="14" t="s">
        <v>116</v>
      </c>
      <c r="C17" s="16">
        <v>650.0</v>
      </c>
      <c r="D17" s="16">
        <v>450.0</v>
      </c>
      <c r="E17" s="18" t="s">
        <v>48</v>
      </c>
      <c r="F17" s="16" t="s">
        <v>100</v>
      </c>
    </row>
    <row r="18">
      <c r="A18" s="33">
        <v>2.0</v>
      </c>
      <c r="B18" s="28" t="s">
        <v>120</v>
      </c>
      <c r="C18" s="16">
        <v>200.0</v>
      </c>
      <c r="D18" s="16">
        <v>200.0</v>
      </c>
      <c r="E18" s="18" t="s">
        <v>48</v>
      </c>
      <c r="F18" s="26"/>
    </row>
    <row r="19">
      <c r="A19" s="13">
        <v>3.0</v>
      </c>
      <c r="B19" s="28" t="s">
        <v>122</v>
      </c>
      <c r="C19" s="16" t="s">
        <v>54</v>
      </c>
      <c r="D19" s="16" t="s">
        <v>54</v>
      </c>
      <c r="E19" s="18" t="s">
        <v>48</v>
      </c>
      <c r="F19" s="26"/>
    </row>
    <row r="20">
      <c r="A20" s="33">
        <v>4.0</v>
      </c>
      <c r="B20" s="14" t="s">
        <v>126</v>
      </c>
      <c r="C20" s="16">
        <v>50.0</v>
      </c>
      <c r="D20" s="16" t="s">
        <v>54</v>
      </c>
      <c r="E20" s="18" t="s">
        <v>41</v>
      </c>
      <c r="F20" s="16" t="s">
        <v>72</v>
      </c>
    </row>
    <row r="21">
      <c r="A21" s="13">
        <v>5.0</v>
      </c>
      <c r="B21" s="14" t="s">
        <v>130</v>
      </c>
      <c r="C21" s="16" t="s">
        <v>54</v>
      </c>
      <c r="D21" s="16" t="s">
        <v>54</v>
      </c>
      <c r="E21" s="18" t="s">
        <v>41</v>
      </c>
      <c r="F21" s="16" t="s">
        <v>72</v>
      </c>
    </row>
    <row r="22">
      <c r="A22" s="33">
        <v>6.0</v>
      </c>
      <c r="B22" s="14" t="s">
        <v>135</v>
      </c>
      <c r="C22" s="16">
        <v>230.0</v>
      </c>
      <c r="D22" s="16" t="s">
        <v>54</v>
      </c>
      <c r="E22" s="18" t="s">
        <v>41</v>
      </c>
      <c r="F22" s="16" t="s">
        <v>72</v>
      </c>
    </row>
    <row r="23">
      <c r="A23" s="13">
        <v>7.0</v>
      </c>
      <c r="B23" s="14" t="s">
        <v>138</v>
      </c>
      <c r="C23" s="16">
        <v>20.0</v>
      </c>
      <c r="D23" s="16">
        <v>20.0</v>
      </c>
      <c r="E23" s="18" t="s">
        <v>48</v>
      </c>
      <c r="F23" s="26"/>
    </row>
    <row r="24">
      <c r="A24" s="25" t="s">
        <v>143</v>
      </c>
      <c r="B24" s="37" t="s">
        <v>145</v>
      </c>
      <c r="C24" s="39"/>
      <c r="D24" s="39"/>
      <c r="E24" s="39"/>
      <c r="F24" s="39"/>
      <c r="H24" s="31" t="s">
        <v>149</v>
      </c>
    </row>
    <row r="25">
      <c r="A25" s="13">
        <v>1.0</v>
      </c>
      <c r="B25" s="14" t="s">
        <v>154</v>
      </c>
      <c r="C25" s="16" t="s">
        <v>54</v>
      </c>
      <c r="D25" s="16" t="s">
        <v>54</v>
      </c>
      <c r="E25" s="18" t="s">
        <v>41</v>
      </c>
      <c r="F25" s="26"/>
      <c r="H25" s="31" t="s">
        <v>137</v>
      </c>
      <c r="I25" s="15">
        <f>sum(C7:C15)+sum(C25:C53)+1300+sum(C55:C64)</f>
        <v>30659</v>
      </c>
      <c r="K25" s="31" t="s">
        <v>166</v>
      </c>
      <c r="N25" s="15">
        <f>I25-sum(C28:C29)-sum(C46:C51)</f>
        <v>5580</v>
      </c>
    </row>
    <row r="26">
      <c r="A26" s="13">
        <v>2.0</v>
      </c>
      <c r="B26" s="14" t="s">
        <v>172</v>
      </c>
      <c r="C26" s="26"/>
      <c r="D26" s="26"/>
      <c r="E26" s="18" t="s">
        <v>41</v>
      </c>
      <c r="F26" s="26"/>
      <c r="H26" s="31" t="s">
        <v>174</v>
      </c>
      <c r="I26" s="15">
        <f>I25-20000</f>
        <v>10659</v>
      </c>
      <c r="J26" s="15">
        <f>SUM(I25:I28)</f>
        <v>44368</v>
      </c>
    </row>
    <row r="27">
      <c r="A27" s="13">
        <v>3.0</v>
      </c>
      <c r="B27" s="28" t="s">
        <v>180</v>
      </c>
      <c r="C27" s="16" t="s">
        <v>54</v>
      </c>
      <c r="D27" s="16" t="s">
        <v>54</v>
      </c>
      <c r="E27" s="18" t="s">
        <v>41</v>
      </c>
      <c r="F27" s="26"/>
    </row>
    <row r="28">
      <c r="A28" s="13">
        <v>4.0</v>
      </c>
      <c r="B28" s="28" t="s">
        <v>183</v>
      </c>
      <c r="C28" s="16">
        <v>30.0</v>
      </c>
      <c r="D28" s="16">
        <v>30.0</v>
      </c>
      <c r="E28" s="18" t="s">
        <v>48</v>
      </c>
      <c r="F28" s="26"/>
      <c r="H28" s="31" t="s">
        <v>148</v>
      </c>
      <c r="I28" s="15">
        <f>sum(C17:C23)+1300+C6</f>
        <v>3050</v>
      </c>
    </row>
    <row r="29">
      <c r="A29" s="13">
        <v>5.0</v>
      </c>
      <c r="B29" s="28" t="s">
        <v>188</v>
      </c>
      <c r="C29" s="56">
        <v>22999.0</v>
      </c>
      <c r="D29" s="56">
        <v>22999.0</v>
      </c>
      <c r="E29" s="18" t="s">
        <v>48</v>
      </c>
      <c r="F29" s="26"/>
    </row>
    <row r="30">
      <c r="A30" s="13">
        <v>6.0</v>
      </c>
      <c r="B30" s="14" t="s">
        <v>194</v>
      </c>
      <c r="C30" s="16" t="s">
        <v>54</v>
      </c>
      <c r="D30" s="16" t="s">
        <v>54</v>
      </c>
      <c r="E30" s="18" t="s">
        <v>41</v>
      </c>
      <c r="F30" s="26"/>
    </row>
    <row r="31">
      <c r="A31" s="13">
        <v>7.0</v>
      </c>
      <c r="B31" s="14" t="s">
        <v>199</v>
      </c>
      <c r="C31" s="16" t="s">
        <v>54</v>
      </c>
      <c r="D31" s="16" t="s">
        <v>54</v>
      </c>
      <c r="E31" s="18" t="s">
        <v>41</v>
      </c>
      <c r="F31" s="26"/>
    </row>
    <row r="32">
      <c r="A32" s="13">
        <v>8.0</v>
      </c>
      <c r="B32" s="14" t="s">
        <v>205</v>
      </c>
      <c r="C32" s="16" t="s">
        <v>54</v>
      </c>
      <c r="D32" s="16" t="s">
        <v>54</v>
      </c>
      <c r="E32" s="18" t="s">
        <v>41</v>
      </c>
      <c r="F32" s="26"/>
      <c r="H32" s="31" t="s">
        <v>175</v>
      </c>
    </row>
    <row r="33">
      <c r="A33" s="13">
        <v>9.0</v>
      </c>
      <c r="B33" s="14" t="s">
        <v>210</v>
      </c>
      <c r="C33" s="16" t="s">
        <v>54</v>
      </c>
      <c r="D33" s="16" t="s">
        <v>54</v>
      </c>
      <c r="E33" s="18" t="s">
        <v>41</v>
      </c>
      <c r="F33" s="26"/>
      <c r="H33" s="31" t="s">
        <v>137</v>
      </c>
      <c r="I33" s="15">
        <f>sum(D15:D23)+sum(D25:D53)+1300+sum(D55:D64)</f>
        <v>30199</v>
      </c>
      <c r="K33" s="31" t="s">
        <v>166</v>
      </c>
      <c r="N33" s="15">
        <f>I33-sum(D28:D29)-sum(D46:D51)</f>
        <v>5120</v>
      </c>
    </row>
    <row r="34">
      <c r="A34" s="13">
        <v>10.0</v>
      </c>
      <c r="B34" s="14" t="s">
        <v>222</v>
      </c>
      <c r="C34" s="16" t="s">
        <v>54</v>
      </c>
      <c r="D34" s="16" t="s">
        <v>54</v>
      </c>
      <c r="E34" s="18" t="s">
        <v>41</v>
      </c>
      <c r="F34" s="26"/>
      <c r="H34" s="31" t="s">
        <v>174</v>
      </c>
      <c r="I34" s="15">
        <f>I33-20000</f>
        <v>10199</v>
      </c>
      <c r="J34" s="15">
        <f>SUM(I33:I36)</f>
        <v>42968</v>
      </c>
    </row>
    <row r="35">
      <c r="A35" s="13">
        <v>11.0</v>
      </c>
      <c r="B35" s="14" t="s">
        <v>228</v>
      </c>
      <c r="C35" s="16" t="s">
        <v>54</v>
      </c>
      <c r="D35" s="16" t="s">
        <v>54</v>
      </c>
      <c r="E35" s="18" t="s">
        <v>41</v>
      </c>
      <c r="F35" s="26"/>
    </row>
    <row r="36">
      <c r="A36" s="13">
        <v>12.0</v>
      </c>
      <c r="B36" s="14" t="s">
        <v>233</v>
      </c>
      <c r="C36" s="16" t="s">
        <v>54</v>
      </c>
      <c r="D36" s="16" t="s">
        <v>54</v>
      </c>
      <c r="E36" s="18" t="s">
        <v>41</v>
      </c>
      <c r="F36" s="26"/>
      <c r="H36" s="31" t="s">
        <v>148</v>
      </c>
      <c r="I36" s="15">
        <f>sum(D17:D23)+1300+D6</f>
        <v>2570</v>
      </c>
    </row>
    <row r="37">
      <c r="A37" s="13">
        <v>13.0</v>
      </c>
      <c r="B37" s="14" t="s">
        <v>240</v>
      </c>
      <c r="C37" s="16" t="s">
        <v>54</v>
      </c>
      <c r="D37" s="16" t="s">
        <v>54</v>
      </c>
      <c r="E37" s="18" t="s">
        <v>41</v>
      </c>
      <c r="F37" s="26"/>
    </row>
    <row r="38">
      <c r="A38" s="13">
        <v>14.0</v>
      </c>
      <c r="B38" s="14" t="s">
        <v>245</v>
      </c>
      <c r="C38" s="16">
        <v>300.0</v>
      </c>
      <c r="D38" s="16">
        <v>300.0</v>
      </c>
      <c r="E38" s="18" t="s">
        <v>48</v>
      </c>
      <c r="F38" s="26"/>
    </row>
    <row r="39">
      <c r="A39" s="13">
        <v>15.0</v>
      </c>
      <c r="B39" s="28" t="s">
        <v>248</v>
      </c>
      <c r="C39" s="16">
        <v>1500.0</v>
      </c>
      <c r="D39" s="16">
        <v>1500.0</v>
      </c>
      <c r="E39" s="18" t="s">
        <v>48</v>
      </c>
      <c r="F39" s="26"/>
    </row>
    <row r="40">
      <c r="A40" s="13">
        <v>16.0</v>
      </c>
      <c r="B40" s="28" t="s">
        <v>251</v>
      </c>
      <c r="C40" s="16">
        <v>500.0</v>
      </c>
      <c r="D40" s="16">
        <v>500.0</v>
      </c>
      <c r="E40" s="18" t="s">
        <v>48</v>
      </c>
      <c r="F40" s="26"/>
    </row>
    <row r="41">
      <c r="A41" s="13">
        <v>17.0</v>
      </c>
      <c r="B41" s="28" t="s">
        <v>255</v>
      </c>
      <c r="C41" s="16">
        <v>100.0</v>
      </c>
      <c r="D41" s="16">
        <v>100.0</v>
      </c>
      <c r="E41" s="18" t="s">
        <v>48</v>
      </c>
      <c r="F41" s="26"/>
    </row>
    <row r="42">
      <c r="A42" s="13">
        <v>18.0</v>
      </c>
      <c r="B42" s="28" t="s">
        <v>261</v>
      </c>
      <c r="C42" s="16">
        <v>500.0</v>
      </c>
      <c r="D42" s="16">
        <v>500.0</v>
      </c>
      <c r="E42" s="18" t="s">
        <v>48</v>
      </c>
      <c r="F42" s="26"/>
    </row>
    <row r="43">
      <c r="A43" s="25" t="s">
        <v>265</v>
      </c>
      <c r="B43" s="37" t="s">
        <v>268</v>
      </c>
      <c r="C43" s="39"/>
      <c r="D43" s="39"/>
      <c r="E43" s="39"/>
      <c r="F43" s="39"/>
    </row>
    <row r="44">
      <c r="A44" s="13">
        <v>1.0</v>
      </c>
      <c r="B44" s="14" t="s">
        <v>270</v>
      </c>
      <c r="C44" s="16" t="s">
        <v>54</v>
      </c>
      <c r="D44" s="16" t="s">
        <v>54</v>
      </c>
      <c r="E44" s="18" t="s">
        <v>48</v>
      </c>
      <c r="F44" s="26"/>
    </row>
    <row r="45">
      <c r="A45" s="13">
        <v>2.0</v>
      </c>
      <c r="B45" s="14" t="s">
        <v>280</v>
      </c>
      <c r="C45" s="16" t="s">
        <v>54</v>
      </c>
      <c r="D45" s="16" t="s">
        <v>54</v>
      </c>
      <c r="E45" s="18" t="s">
        <v>48</v>
      </c>
      <c r="F45" s="26"/>
    </row>
    <row r="46">
      <c r="A46" s="13">
        <v>3.0</v>
      </c>
      <c r="B46" s="14" t="s">
        <v>283</v>
      </c>
      <c r="C46" s="16" t="s">
        <v>54</v>
      </c>
      <c r="D46" s="16" t="s">
        <v>54</v>
      </c>
      <c r="E46" s="18" t="s">
        <v>48</v>
      </c>
      <c r="F46" s="26"/>
    </row>
    <row r="47">
      <c r="A47" s="13">
        <v>4.0</v>
      </c>
      <c r="B47" s="28" t="s">
        <v>285</v>
      </c>
      <c r="C47" s="16">
        <v>500.0</v>
      </c>
      <c r="D47" s="16">
        <v>500.0</v>
      </c>
      <c r="E47" s="18" t="s">
        <v>48</v>
      </c>
      <c r="F47" s="26"/>
    </row>
    <row r="48">
      <c r="A48" s="13">
        <v>5.0</v>
      </c>
      <c r="B48" s="28" t="s">
        <v>287</v>
      </c>
      <c r="C48" s="16">
        <v>550.0</v>
      </c>
      <c r="D48" s="16">
        <v>550.0</v>
      </c>
      <c r="E48" s="18" t="s">
        <v>48</v>
      </c>
      <c r="F48" s="26"/>
    </row>
    <row r="49">
      <c r="A49" s="13">
        <v>6.0</v>
      </c>
      <c r="B49" s="28" t="s">
        <v>291</v>
      </c>
      <c r="C49" s="16">
        <v>500.0</v>
      </c>
      <c r="D49" s="16">
        <v>500.0</v>
      </c>
      <c r="E49" s="18" t="s">
        <v>48</v>
      </c>
      <c r="F49" s="26"/>
    </row>
    <row r="50">
      <c r="A50" s="13">
        <v>7.0</v>
      </c>
      <c r="B50" s="28" t="s">
        <v>297</v>
      </c>
      <c r="C50" s="16">
        <v>500.0</v>
      </c>
      <c r="D50" s="16">
        <v>500.0</v>
      </c>
      <c r="E50" s="18" t="s">
        <v>48</v>
      </c>
      <c r="F50" s="26"/>
    </row>
    <row r="51">
      <c r="A51" s="13">
        <v>8.0</v>
      </c>
      <c r="B51" s="14" t="s">
        <v>300</v>
      </c>
      <c r="C51" s="16" t="s">
        <v>54</v>
      </c>
      <c r="D51" s="16" t="s">
        <v>54</v>
      </c>
      <c r="E51" s="18" t="s">
        <v>41</v>
      </c>
      <c r="F51" s="26"/>
    </row>
    <row r="52">
      <c r="A52" s="13">
        <v>9.0</v>
      </c>
      <c r="B52" s="14" t="s">
        <v>306</v>
      </c>
      <c r="C52" s="16" t="s">
        <v>54</v>
      </c>
      <c r="D52" s="16" t="s">
        <v>54</v>
      </c>
      <c r="E52" s="18" t="s">
        <v>41</v>
      </c>
      <c r="F52" s="26"/>
    </row>
    <row r="53">
      <c r="A53" s="25" t="s">
        <v>310</v>
      </c>
      <c r="B53" s="37" t="s">
        <v>311</v>
      </c>
      <c r="C53" s="60"/>
      <c r="D53" s="60"/>
      <c r="E53" s="39"/>
      <c r="F53" s="39"/>
    </row>
    <row r="54">
      <c r="A54" s="13">
        <v>1.0</v>
      </c>
      <c r="B54" s="62" t="s">
        <v>314</v>
      </c>
      <c r="C54" s="63">
        <v>2600.0</v>
      </c>
      <c r="D54" s="63">
        <v>2600.0</v>
      </c>
      <c r="E54" s="18" t="s">
        <v>41</v>
      </c>
      <c r="F54" s="26"/>
    </row>
    <row r="55">
      <c r="A55" s="13">
        <v>2.0</v>
      </c>
      <c r="B55" s="28" t="s">
        <v>281</v>
      </c>
      <c r="C55" s="79">
        <v>250.0</v>
      </c>
      <c r="D55" s="79" t="s">
        <v>54</v>
      </c>
      <c r="E55" s="18" t="s">
        <v>48</v>
      </c>
      <c r="F55" s="26"/>
    </row>
    <row r="56">
      <c r="A56" s="13">
        <v>3.0</v>
      </c>
      <c r="B56" s="14"/>
      <c r="C56" s="16"/>
      <c r="D56" s="16"/>
      <c r="E56" s="18" t="s">
        <v>48</v>
      </c>
      <c r="F56" s="26"/>
    </row>
    <row r="57">
      <c r="A57" s="25" t="s">
        <v>322</v>
      </c>
      <c r="B57" s="37" t="s">
        <v>324</v>
      </c>
      <c r="C57" s="39"/>
      <c r="D57" s="39"/>
      <c r="E57" s="39"/>
      <c r="F57" s="39"/>
    </row>
    <row r="58">
      <c r="A58" s="13">
        <v>1.0</v>
      </c>
      <c r="B58" s="14" t="s">
        <v>326</v>
      </c>
      <c r="C58" s="16" t="s">
        <v>304</v>
      </c>
      <c r="D58" s="16" t="s">
        <v>295</v>
      </c>
      <c r="E58" s="18" t="s">
        <v>48</v>
      </c>
      <c r="F58" s="26"/>
    </row>
    <row r="59">
      <c r="A59" s="13">
        <v>2.0</v>
      </c>
      <c r="B59" s="14" t="s">
        <v>328</v>
      </c>
      <c r="C59" s="16" t="s">
        <v>54</v>
      </c>
      <c r="D59" s="16" t="s">
        <v>54</v>
      </c>
      <c r="E59" s="18" t="s">
        <v>48</v>
      </c>
      <c r="F59" s="26"/>
    </row>
    <row r="60">
      <c r="A60" s="13">
        <v>3.0</v>
      </c>
      <c r="B60" s="14" t="s">
        <v>330</v>
      </c>
      <c r="C60" s="16" t="s">
        <v>54</v>
      </c>
      <c r="D60" s="16" t="s">
        <v>54</v>
      </c>
      <c r="E60" s="18" t="s">
        <v>48</v>
      </c>
      <c r="F60" s="26"/>
    </row>
    <row r="61">
      <c r="A61" s="13">
        <v>4.0</v>
      </c>
      <c r="B61" s="73" t="s">
        <v>332</v>
      </c>
      <c r="C61" s="80" t="s">
        <v>54</v>
      </c>
      <c r="D61" s="80" t="s">
        <v>54</v>
      </c>
      <c r="E61" s="18" t="s">
        <v>48</v>
      </c>
      <c r="F61" s="74"/>
    </row>
    <row r="62">
      <c r="A62" s="13">
        <v>5.0</v>
      </c>
      <c r="B62" s="14" t="s">
        <v>334</v>
      </c>
      <c r="C62" s="16" t="s">
        <v>54</v>
      </c>
      <c r="D62" s="16" t="s">
        <v>54</v>
      </c>
      <c r="E62" s="18" t="s">
        <v>48</v>
      </c>
      <c r="F62" s="26"/>
    </row>
    <row r="63">
      <c r="A63" s="13">
        <v>6.0</v>
      </c>
      <c r="B63" s="14" t="s">
        <v>336</v>
      </c>
      <c r="C63" s="16" t="s">
        <v>54</v>
      </c>
      <c r="D63" s="16" t="s">
        <v>54</v>
      </c>
      <c r="E63" s="18" t="s">
        <v>48</v>
      </c>
      <c r="F63" s="26"/>
    </row>
    <row r="64">
      <c r="A64" s="13">
        <v>7.0</v>
      </c>
      <c r="B64" s="14" t="s">
        <v>338</v>
      </c>
      <c r="C64" s="16">
        <v>50.0</v>
      </c>
      <c r="D64" s="16">
        <v>50.0</v>
      </c>
      <c r="E64" s="18" t="s">
        <v>48</v>
      </c>
      <c r="F64" s="26"/>
    </row>
    <row r="65">
      <c r="A65" s="61" t="s">
        <v>339</v>
      </c>
      <c r="B65" s="12"/>
      <c r="C65" s="58">
        <f t="shared" ref="C65:D65" si="1">SUM(C2:C64)</f>
        <v>33709</v>
      </c>
      <c r="D65" s="58">
        <f t="shared" si="1"/>
        <v>32549</v>
      </c>
      <c r="E65" s="64"/>
      <c r="F65" s="26"/>
    </row>
    <row r="67">
      <c r="C67" s="68">
        <f t="shared" ref="C67:D67" si="2">C65-20000</f>
        <v>13709</v>
      </c>
      <c r="D67" s="68">
        <f t="shared" si="2"/>
        <v>12549</v>
      </c>
    </row>
  </sheetData>
  <mergeCells count="7">
    <mergeCell ref="A1:F1"/>
    <mergeCell ref="A2:A3"/>
    <mergeCell ref="B2:B3"/>
    <mergeCell ref="E2:E3"/>
    <mergeCell ref="F2:F3"/>
    <mergeCell ref="A4:F4"/>
    <mergeCell ref="A65:B65"/>
  </mergeCells>
  <dataValidations>
    <dataValidation type="list" allowBlank="1" showErrorMessage="1" sqref="E6:E11 E13:E15 E17:E23 E25:E42 E44:E52 E54:E56 E58:E64">
      <formula1>"Completed,Not Yet"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38.0"/>
    <col customWidth="1" min="4" max="4" width="22.29"/>
    <col customWidth="1" min="5" max="5" width="15.0"/>
  </cols>
  <sheetData>
    <row r="1">
      <c r="A1" s="31" t="s">
        <v>363</v>
      </c>
    </row>
    <row r="2">
      <c r="A2" s="85" t="s">
        <v>364</v>
      </c>
      <c r="B2" s="85" t="s">
        <v>365</v>
      </c>
      <c r="C2" s="85" t="s">
        <v>366</v>
      </c>
      <c r="D2" s="85" t="s">
        <v>367</v>
      </c>
      <c r="E2" s="85" t="s">
        <v>368</v>
      </c>
    </row>
    <row r="3">
      <c r="A3" s="86">
        <v>1.0</v>
      </c>
      <c r="B3" s="31" t="s">
        <v>369</v>
      </c>
      <c r="C3" s="31">
        <v>4.0</v>
      </c>
      <c r="D3" s="31" t="s">
        <v>370</v>
      </c>
      <c r="E3" s="31" t="s">
        <v>371</v>
      </c>
    </row>
    <row r="4">
      <c r="A4" s="86">
        <v>2.0</v>
      </c>
      <c r="B4" s="31" t="s">
        <v>372</v>
      </c>
      <c r="C4" s="31">
        <v>4.0</v>
      </c>
      <c r="D4" s="31" t="s">
        <v>370</v>
      </c>
      <c r="E4" s="31" t="s">
        <v>371</v>
      </c>
    </row>
    <row r="5">
      <c r="A5" s="86">
        <v>3.0</v>
      </c>
      <c r="B5" s="31" t="s">
        <v>373</v>
      </c>
      <c r="C5" s="31">
        <v>3.0</v>
      </c>
      <c r="D5" s="31" t="s">
        <v>370</v>
      </c>
      <c r="E5" s="31" t="s">
        <v>371</v>
      </c>
    </row>
    <row r="6">
      <c r="A6" s="86">
        <v>4.0</v>
      </c>
      <c r="B6" s="31" t="s">
        <v>374</v>
      </c>
      <c r="C6" s="31">
        <v>2.0</v>
      </c>
      <c r="D6" s="31" t="s">
        <v>370</v>
      </c>
      <c r="E6" s="15"/>
    </row>
    <row r="7">
      <c r="A7" s="86">
        <v>5.0</v>
      </c>
      <c r="B7" s="31" t="s">
        <v>375</v>
      </c>
      <c r="C7" s="31">
        <v>2.0</v>
      </c>
      <c r="D7" s="31" t="s">
        <v>370</v>
      </c>
      <c r="E7" s="15"/>
    </row>
    <row r="8">
      <c r="A8" s="86">
        <v>6.0</v>
      </c>
      <c r="B8" s="31" t="s">
        <v>376</v>
      </c>
      <c r="C8" s="31">
        <v>1.0</v>
      </c>
      <c r="D8" s="31" t="s">
        <v>370</v>
      </c>
      <c r="E8" s="15"/>
    </row>
    <row r="9">
      <c r="A9" s="86">
        <v>7.0</v>
      </c>
      <c r="B9" s="31" t="s">
        <v>377</v>
      </c>
      <c r="C9" s="31">
        <v>2.0</v>
      </c>
      <c r="D9" s="31" t="s">
        <v>370</v>
      </c>
      <c r="E9" s="15"/>
    </row>
    <row r="10">
      <c r="A10" s="86">
        <v>8.0</v>
      </c>
      <c r="B10" s="31" t="s">
        <v>378</v>
      </c>
      <c r="C10" s="31">
        <v>4.0</v>
      </c>
      <c r="D10" s="31" t="s">
        <v>370</v>
      </c>
      <c r="E10" s="15"/>
    </row>
    <row r="11">
      <c r="A11" s="86">
        <v>9.0</v>
      </c>
      <c r="B11" s="31" t="s">
        <v>379</v>
      </c>
      <c r="C11" s="31">
        <v>2.0</v>
      </c>
      <c r="D11" s="31" t="s">
        <v>370</v>
      </c>
      <c r="E11" s="15"/>
    </row>
    <row r="12">
      <c r="A12" s="86">
        <v>10.0</v>
      </c>
      <c r="B12" s="31" t="s">
        <v>380</v>
      </c>
      <c r="C12" s="31">
        <v>4.0</v>
      </c>
      <c r="D12" s="31" t="s">
        <v>370</v>
      </c>
      <c r="E12" s="15"/>
    </row>
    <row r="13">
      <c r="A13" s="86">
        <v>11.0</v>
      </c>
      <c r="B13" s="31" t="s">
        <v>381</v>
      </c>
      <c r="C13" s="31">
        <v>1.0</v>
      </c>
      <c r="D13" s="31" t="s">
        <v>370</v>
      </c>
      <c r="E13" s="15"/>
    </row>
    <row r="14">
      <c r="A14" s="86">
        <v>12.0</v>
      </c>
      <c r="B14" s="31" t="s">
        <v>382</v>
      </c>
      <c r="C14" s="31">
        <v>4.0</v>
      </c>
      <c r="D14" s="31" t="s">
        <v>370</v>
      </c>
      <c r="E14" s="15"/>
    </row>
    <row r="15">
      <c r="A15" s="86">
        <v>13.0</v>
      </c>
      <c r="B15" s="31" t="s">
        <v>383</v>
      </c>
      <c r="C15" s="31">
        <v>3.0</v>
      </c>
      <c r="D15" s="31" t="s">
        <v>370</v>
      </c>
      <c r="E15" s="15"/>
    </row>
    <row r="16">
      <c r="A16" s="86">
        <v>14.0</v>
      </c>
      <c r="B16" s="31" t="s">
        <v>384</v>
      </c>
      <c r="C16" s="31">
        <v>1.0</v>
      </c>
      <c r="D16" s="31" t="s">
        <v>370</v>
      </c>
      <c r="E16" s="15"/>
    </row>
    <row r="17">
      <c r="A17" s="86">
        <v>15.0</v>
      </c>
      <c r="B17" s="31" t="s">
        <v>385</v>
      </c>
      <c r="C17" s="31">
        <v>3.0</v>
      </c>
      <c r="D17" s="31" t="s">
        <v>370</v>
      </c>
      <c r="E17" s="15"/>
    </row>
    <row r="18">
      <c r="A18" s="86">
        <v>16.0</v>
      </c>
      <c r="B18" s="31" t="s">
        <v>386</v>
      </c>
      <c r="C18" s="31">
        <v>4.0</v>
      </c>
      <c r="D18" s="31" t="s">
        <v>370</v>
      </c>
      <c r="E18" s="15"/>
    </row>
    <row r="19">
      <c r="A19" s="86">
        <v>17.0</v>
      </c>
      <c r="B19" s="31" t="s">
        <v>387</v>
      </c>
      <c r="C19" s="31">
        <v>3.0</v>
      </c>
      <c r="D19" s="31" t="s">
        <v>370</v>
      </c>
      <c r="E19" s="15"/>
    </row>
    <row r="20">
      <c r="A20" s="86">
        <v>18.0</v>
      </c>
      <c r="B20" s="31" t="s">
        <v>388</v>
      </c>
      <c r="C20" s="31">
        <v>4.0</v>
      </c>
      <c r="D20" s="31" t="s">
        <v>370</v>
      </c>
      <c r="E20" s="15"/>
    </row>
    <row r="21">
      <c r="A21" s="86">
        <v>19.0</v>
      </c>
      <c r="B21" s="31" t="s">
        <v>389</v>
      </c>
      <c r="C21" s="31">
        <v>2.0</v>
      </c>
      <c r="D21" s="31" t="s">
        <v>370</v>
      </c>
      <c r="E21" s="15"/>
    </row>
    <row r="22">
      <c r="A22" s="86">
        <v>20.0</v>
      </c>
      <c r="B22" s="31" t="s">
        <v>390</v>
      </c>
      <c r="C22" s="31">
        <v>3.0</v>
      </c>
      <c r="D22" s="31" t="s">
        <v>370</v>
      </c>
      <c r="E22" s="15"/>
    </row>
    <row r="23">
      <c r="A23" s="86">
        <v>21.0</v>
      </c>
      <c r="B23" s="31" t="s">
        <v>391</v>
      </c>
      <c r="C23" s="31">
        <v>3.0</v>
      </c>
      <c r="D23" s="31" t="s">
        <v>370</v>
      </c>
      <c r="E23" s="15"/>
    </row>
    <row r="24">
      <c r="A24" s="86">
        <v>22.0</v>
      </c>
      <c r="B24" s="31" t="s">
        <v>392</v>
      </c>
      <c r="C24" s="31">
        <v>3.0</v>
      </c>
      <c r="D24" s="31" t="s">
        <v>370</v>
      </c>
      <c r="E24" s="15"/>
    </row>
    <row r="25">
      <c r="A25" s="86">
        <v>23.0</v>
      </c>
      <c r="B25" s="31" t="s">
        <v>393</v>
      </c>
      <c r="C25" s="31">
        <v>4.0</v>
      </c>
      <c r="D25" s="31" t="s">
        <v>370</v>
      </c>
      <c r="E25" s="15"/>
    </row>
    <row r="26">
      <c r="A26" s="86">
        <v>24.0</v>
      </c>
      <c r="B26" s="31" t="s">
        <v>394</v>
      </c>
      <c r="C26" s="31">
        <v>3.0</v>
      </c>
      <c r="D26" s="31" t="s">
        <v>370</v>
      </c>
      <c r="E26" s="15"/>
    </row>
    <row r="27">
      <c r="A27" s="86">
        <v>25.0</v>
      </c>
      <c r="B27" s="31" t="s">
        <v>396</v>
      </c>
      <c r="C27" s="31">
        <v>4.0</v>
      </c>
      <c r="D27" s="31" t="s">
        <v>370</v>
      </c>
      <c r="E27" s="15"/>
    </row>
    <row r="28">
      <c r="A28" s="86">
        <v>26.0</v>
      </c>
      <c r="B28" s="31" t="s">
        <v>397</v>
      </c>
      <c r="C28" s="31">
        <v>3.0</v>
      </c>
      <c r="D28" s="31" t="s">
        <v>370</v>
      </c>
      <c r="E28" s="15"/>
    </row>
    <row r="29">
      <c r="A29" s="86">
        <v>27.0</v>
      </c>
      <c r="B29" s="31" t="s">
        <v>398</v>
      </c>
      <c r="C29" s="31">
        <v>3.0</v>
      </c>
      <c r="D29" s="31" t="s">
        <v>370</v>
      </c>
      <c r="E29" s="15"/>
    </row>
    <row r="30">
      <c r="A30" s="86">
        <v>28.0</v>
      </c>
      <c r="B30" s="31" t="s">
        <v>399</v>
      </c>
      <c r="C30" s="31">
        <v>3.0</v>
      </c>
      <c r="D30" s="31" t="s">
        <v>370</v>
      </c>
      <c r="E30" s="15"/>
    </row>
    <row r="31">
      <c r="A31" s="86">
        <v>29.0</v>
      </c>
      <c r="B31" s="31" t="s">
        <v>402</v>
      </c>
      <c r="C31" s="31">
        <v>2.0</v>
      </c>
      <c r="D31" s="31" t="s">
        <v>370</v>
      </c>
      <c r="E31" s="15"/>
    </row>
    <row r="32">
      <c r="A32" s="86">
        <v>30.0</v>
      </c>
      <c r="B32" s="31" t="s">
        <v>404</v>
      </c>
      <c r="C32" s="31">
        <v>2.0</v>
      </c>
      <c r="D32" s="31" t="s">
        <v>370</v>
      </c>
      <c r="E32" s="15"/>
    </row>
    <row r="33">
      <c r="A33" s="86">
        <v>31.0</v>
      </c>
      <c r="B33" s="31" t="s">
        <v>405</v>
      </c>
      <c r="C33" s="31">
        <v>3.0</v>
      </c>
      <c r="D33" s="31" t="s">
        <v>370</v>
      </c>
      <c r="E33" s="15"/>
    </row>
    <row r="34">
      <c r="A34" s="86">
        <v>32.0</v>
      </c>
      <c r="B34" s="31" t="s">
        <v>406</v>
      </c>
      <c r="C34" s="31">
        <v>1.0</v>
      </c>
      <c r="D34" s="31" t="s">
        <v>370</v>
      </c>
      <c r="E34" s="15"/>
    </row>
    <row r="35">
      <c r="A35" s="86">
        <v>33.0</v>
      </c>
      <c r="B35" s="31" t="s">
        <v>407</v>
      </c>
      <c r="C35" s="31">
        <v>4.0</v>
      </c>
      <c r="D35" s="31" t="s">
        <v>370</v>
      </c>
      <c r="E35" s="15"/>
    </row>
    <row r="36">
      <c r="A36" s="86">
        <v>34.0</v>
      </c>
      <c r="B36" s="31" t="s">
        <v>409</v>
      </c>
      <c r="C36" s="31">
        <v>1.0</v>
      </c>
      <c r="D36" s="31" t="s">
        <v>370</v>
      </c>
      <c r="E36" s="15"/>
    </row>
    <row r="37">
      <c r="A37" s="86">
        <v>35.0</v>
      </c>
      <c r="B37" s="31" t="s">
        <v>411</v>
      </c>
      <c r="C37" s="31">
        <v>3.0</v>
      </c>
      <c r="D37" s="31" t="s">
        <v>370</v>
      </c>
      <c r="E37" s="15"/>
    </row>
    <row r="38">
      <c r="A38" s="86">
        <v>36.0</v>
      </c>
      <c r="B38" s="31" t="s">
        <v>412</v>
      </c>
      <c r="C38" s="31">
        <v>3.0</v>
      </c>
      <c r="D38" s="31" t="s">
        <v>370</v>
      </c>
      <c r="E38" s="15"/>
    </row>
    <row r="39">
      <c r="A39" s="86">
        <v>37.0</v>
      </c>
      <c r="B39" s="31" t="s">
        <v>414</v>
      </c>
      <c r="C39" s="31">
        <v>3.0</v>
      </c>
      <c r="D39" s="31" t="s">
        <v>370</v>
      </c>
      <c r="E39" s="15"/>
    </row>
    <row r="40">
      <c r="A40" s="86">
        <v>38.0</v>
      </c>
      <c r="B40" s="31" t="s">
        <v>415</v>
      </c>
      <c r="C40" s="31">
        <v>1.0</v>
      </c>
      <c r="D40" s="31" t="s">
        <v>370</v>
      </c>
      <c r="E40" s="15"/>
    </row>
    <row r="41">
      <c r="A41" s="86">
        <v>39.0</v>
      </c>
      <c r="B41" s="31" t="s">
        <v>417</v>
      </c>
      <c r="C41" s="31">
        <v>3.0</v>
      </c>
      <c r="D41" s="31" t="s">
        <v>370</v>
      </c>
      <c r="E41" s="15"/>
    </row>
    <row r="42">
      <c r="A42" s="86">
        <v>40.0</v>
      </c>
      <c r="B42" s="31" t="s">
        <v>418</v>
      </c>
      <c r="C42" s="31">
        <v>3.0</v>
      </c>
      <c r="D42" s="31" t="s">
        <v>370</v>
      </c>
      <c r="E42" s="15"/>
    </row>
    <row r="43">
      <c r="A43" s="86">
        <v>41.0</v>
      </c>
      <c r="B43" s="31" t="s">
        <v>420</v>
      </c>
      <c r="C43" s="31">
        <v>3.0</v>
      </c>
      <c r="D43" s="31" t="s">
        <v>370</v>
      </c>
      <c r="E43" s="15"/>
    </row>
    <row r="44">
      <c r="A44" s="86">
        <v>42.0</v>
      </c>
      <c r="B44" s="31" t="s">
        <v>421</v>
      </c>
      <c r="C44" s="31">
        <v>1.0</v>
      </c>
      <c r="D44" s="31" t="s">
        <v>370</v>
      </c>
      <c r="E44" s="15"/>
    </row>
    <row r="45">
      <c r="A45" s="86">
        <v>43.0</v>
      </c>
      <c r="B45" s="31" t="s">
        <v>423</v>
      </c>
      <c r="C45" s="31">
        <v>4.0</v>
      </c>
      <c r="D45" s="31" t="s">
        <v>370</v>
      </c>
      <c r="E45" s="15"/>
    </row>
    <row r="46">
      <c r="A46" s="86">
        <v>44.0</v>
      </c>
      <c r="B46" s="31" t="s">
        <v>426</v>
      </c>
      <c r="C46" s="31">
        <v>3.0</v>
      </c>
      <c r="D46" s="31" t="s">
        <v>370</v>
      </c>
      <c r="E46" s="15"/>
    </row>
    <row r="47">
      <c r="A47" s="86">
        <v>45.0</v>
      </c>
      <c r="B47" s="31" t="s">
        <v>428</v>
      </c>
      <c r="C47" s="31">
        <v>3.0</v>
      </c>
      <c r="D47" s="31" t="s">
        <v>370</v>
      </c>
      <c r="E47" s="15"/>
    </row>
    <row r="48">
      <c r="A48" s="86">
        <v>46.0</v>
      </c>
      <c r="B48" s="31" t="s">
        <v>429</v>
      </c>
      <c r="C48" s="31">
        <v>3.0</v>
      </c>
      <c r="D48" s="31" t="s">
        <v>370</v>
      </c>
      <c r="E48" s="15"/>
    </row>
    <row r="49">
      <c r="A49" s="86">
        <v>47.0</v>
      </c>
      <c r="B49" s="31" t="s">
        <v>431</v>
      </c>
      <c r="C49" s="31">
        <v>3.0</v>
      </c>
      <c r="D49" s="31" t="s">
        <v>370</v>
      </c>
      <c r="E49" s="15"/>
    </row>
    <row r="50">
      <c r="A50" s="86">
        <v>48.0</v>
      </c>
      <c r="B50" s="31" t="s">
        <v>433</v>
      </c>
      <c r="C50" s="31">
        <v>4.0</v>
      </c>
      <c r="D50" s="31" t="s">
        <v>370</v>
      </c>
      <c r="E50" s="15"/>
    </row>
    <row r="51">
      <c r="A51" s="86">
        <v>49.0</v>
      </c>
      <c r="B51" s="31" t="s">
        <v>434</v>
      </c>
      <c r="C51" s="31">
        <v>3.0</v>
      </c>
      <c r="D51" s="31" t="s">
        <v>370</v>
      </c>
      <c r="E51" s="15"/>
    </row>
    <row r="52">
      <c r="A52" s="86">
        <v>50.0</v>
      </c>
      <c r="B52" s="31" t="s">
        <v>435</v>
      </c>
      <c r="C52" s="31">
        <v>3.0</v>
      </c>
      <c r="D52" s="31" t="s">
        <v>370</v>
      </c>
      <c r="E52" s="15"/>
    </row>
    <row r="53">
      <c r="A53" s="86">
        <v>51.0</v>
      </c>
      <c r="B53" s="31" t="s">
        <v>436</v>
      </c>
      <c r="C53" s="31">
        <v>2.0</v>
      </c>
      <c r="D53" s="31" t="s">
        <v>370</v>
      </c>
      <c r="E53" s="15"/>
    </row>
    <row r="54">
      <c r="A54" s="86">
        <v>52.0</v>
      </c>
      <c r="B54" s="31" t="s">
        <v>438</v>
      </c>
      <c r="C54" s="31">
        <v>2.0</v>
      </c>
      <c r="D54" s="31" t="s">
        <v>439</v>
      </c>
      <c r="E54" s="15"/>
    </row>
    <row r="55">
      <c r="A55" s="86">
        <v>53.0</v>
      </c>
      <c r="B55" s="31" t="s">
        <v>440</v>
      </c>
      <c r="C55" s="31">
        <v>3.0</v>
      </c>
      <c r="D55" s="31" t="s">
        <v>439</v>
      </c>
      <c r="E55" s="15"/>
    </row>
    <row r="56">
      <c r="A56" s="86">
        <v>54.0</v>
      </c>
      <c r="B56" s="31" t="s">
        <v>442</v>
      </c>
      <c r="C56" s="31">
        <v>2.0</v>
      </c>
      <c r="D56" s="31" t="s">
        <v>439</v>
      </c>
      <c r="E56" s="15"/>
    </row>
    <row r="57">
      <c r="A57" s="86"/>
      <c r="B57" s="31" t="s">
        <v>443</v>
      </c>
      <c r="C57" s="31">
        <v>2.0</v>
      </c>
      <c r="D57" s="31" t="s">
        <v>444</v>
      </c>
      <c r="E57" s="15"/>
    </row>
    <row r="58">
      <c r="A58" s="86"/>
      <c r="B58" s="31" t="s">
        <v>445</v>
      </c>
      <c r="C58" s="31">
        <v>3.0</v>
      </c>
      <c r="D58" s="31" t="s">
        <v>444</v>
      </c>
      <c r="E58" s="15"/>
    </row>
    <row r="59">
      <c r="A59" s="86"/>
      <c r="B59" s="31" t="s">
        <v>447</v>
      </c>
      <c r="C59" s="31">
        <v>2.0</v>
      </c>
      <c r="D59" s="31" t="s">
        <v>444</v>
      </c>
      <c r="E59" s="15"/>
    </row>
    <row r="60">
      <c r="A60" s="86"/>
      <c r="B60" s="31" t="s">
        <v>450</v>
      </c>
      <c r="C60" s="31">
        <v>2.0</v>
      </c>
      <c r="D60" s="31" t="s">
        <v>444</v>
      </c>
      <c r="E60" s="15"/>
    </row>
    <row r="61">
      <c r="A61" s="86"/>
      <c r="B61" s="31" t="s">
        <v>451</v>
      </c>
      <c r="C61" s="31">
        <v>2.0</v>
      </c>
      <c r="D61" s="31" t="s">
        <v>444</v>
      </c>
      <c r="E61" s="15"/>
    </row>
    <row r="62">
      <c r="A62" s="86">
        <v>55.0</v>
      </c>
      <c r="B62" s="31" t="s">
        <v>453</v>
      </c>
      <c r="C62" s="31">
        <v>3.0</v>
      </c>
      <c r="D62" s="31" t="s">
        <v>454</v>
      </c>
      <c r="E62" s="15"/>
    </row>
    <row r="63">
      <c r="A63" s="86">
        <v>56.0</v>
      </c>
      <c r="B63" s="31" t="s">
        <v>455</v>
      </c>
      <c r="C63" s="31">
        <v>3.0</v>
      </c>
      <c r="D63" s="31" t="s">
        <v>457</v>
      </c>
      <c r="E63" s="15"/>
    </row>
    <row r="64">
      <c r="A64" s="86">
        <v>57.0</v>
      </c>
      <c r="B64" s="31" t="s">
        <v>458</v>
      </c>
      <c r="C64" s="31">
        <v>3.0</v>
      </c>
      <c r="D64" s="31" t="s">
        <v>459</v>
      </c>
      <c r="E64" s="15"/>
    </row>
    <row r="65">
      <c r="A65" s="86">
        <v>58.0</v>
      </c>
      <c r="B65" s="31" t="s">
        <v>461</v>
      </c>
      <c r="C65" s="31">
        <v>1.0</v>
      </c>
      <c r="D65" s="31"/>
      <c r="E65" s="15"/>
    </row>
    <row r="66">
      <c r="A66" s="86">
        <v>59.0</v>
      </c>
      <c r="B66" s="31" t="s">
        <v>462</v>
      </c>
      <c r="C66" s="31">
        <v>1.0</v>
      </c>
      <c r="D66" s="31" t="s">
        <v>457</v>
      </c>
      <c r="E66" s="15"/>
    </row>
    <row r="67">
      <c r="A67" s="86">
        <v>60.0</v>
      </c>
      <c r="B67" s="31" t="s">
        <v>464</v>
      </c>
      <c r="C67" s="31">
        <v>3.0</v>
      </c>
      <c r="D67" s="31" t="s">
        <v>457</v>
      </c>
      <c r="E67" s="15"/>
    </row>
    <row r="68">
      <c r="A68" s="86">
        <v>61.0</v>
      </c>
      <c r="B68" s="31" t="s">
        <v>465</v>
      </c>
      <c r="C68" s="31">
        <v>1.0</v>
      </c>
      <c r="D68" s="31" t="s">
        <v>457</v>
      </c>
      <c r="E68" s="15"/>
    </row>
    <row r="69">
      <c r="A69" s="86">
        <v>62.0</v>
      </c>
      <c r="B69" s="31" t="s">
        <v>466</v>
      </c>
      <c r="C69" s="31">
        <v>1.0</v>
      </c>
      <c r="D69" s="31" t="s">
        <v>457</v>
      </c>
      <c r="E69" s="15"/>
    </row>
    <row r="70">
      <c r="A70" s="86">
        <v>63.0</v>
      </c>
      <c r="B70" s="31" t="s">
        <v>468</v>
      </c>
      <c r="C70" s="31">
        <v>3.0</v>
      </c>
      <c r="D70" s="31" t="s">
        <v>469</v>
      </c>
      <c r="E70" s="15"/>
    </row>
    <row r="71">
      <c r="A71" s="86">
        <v>64.0</v>
      </c>
      <c r="B71" s="31" t="s">
        <v>470</v>
      </c>
      <c r="C71" s="31">
        <v>3.0</v>
      </c>
      <c r="D71" s="31" t="s">
        <v>469</v>
      </c>
      <c r="E71" s="15"/>
    </row>
    <row r="72">
      <c r="A72" s="86">
        <v>65.0</v>
      </c>
      <c r="B72" s="31" t="s">
        <v>472</v>
      </c>
      <c r="C72" s="31">
        <v>3.0</v>
      </c>
      <c r="D72" s="31" t="s">
        <v>469</v>
      </c>
      <c r="E72" s="15"/>
    </row>
    <row r="73">
      <c r="A73" s="86">
        <v>66.0</v>
      </c>
      <c r="B73" s="31" t="s">
        <v>473</v>
      </c>
      <c r="C73" s="31">
        <v>3.0</v>
      </c>
      <c r="D73" s="31" t="s">
        <v>469</v>
      </c>
      <c r="E73" s="15"/>
    </row>
    <row r="74">
      <c r="A74" s="86">
        <v>67.0</v>
      </c>
      <c r="B74" s="31" t="s">
        <v>475</v>
      </c>
      <c r="C74" s="31">
        <v>3.0</v>
      </c>
      <c r="D74" s="31" t="s">
        <v>469</v>
      </c>
      <c r="E74" s="15"/>
    </row>
    <row r="75">
      <c r="A75" s="86">
        <v>68.0</v>
      </c>
      <c r="B75" s="31" t="s">
        <v>476</v>
      </c>
      <c r="C75" s="31">
        <v>3.0</v>
      </c>
      <c r="D75" s="31" t="s">
        <v>469</v>
      </c>
      <c r="E75" s="15"/>
    </row>
    <row r="76">
      <c r="A76" s="86">
        <v>69.0</v>
      </c>
      <c r="B76" s="31" t="s">
        <v>478</v>
      </c>
      <c r="C76" s="31">
        <v>3.0</v>
      </c>
      <c r="D76" s="31" t="s">
        <v>469</v>
      </c>
      <c r="E76" s="15"/>
    </row>
    <row r="77">
      <c r="A77" s="86">
        <v>70.0</v>
      </c>
      <c r="B77" s="31" t="s">
        <v>479</v>
      </c>
      <c r="C77" s="31">
        <v>3.0</v>
      </c>
      <c r="D77" s="31" t="s">
        <v>469</v>
      </c>
      <c r="E77" s="15"/>
    </row>
    <row r="78">
      <c r="A78" s="86">
        <v>71.0</v>
      </c>
      <c r="B78" s="31" t="s">
        <v>481</v>
      </c>
      <c r="C78" s="31">
        <v>6.0</v>
      </c>
      <c r="D78" s="31" t="s">
        <v>482</v>
      </c>
      <c r="E78" s="15"/>
    </row>
    <row r="79">
      <c r="A79" s="86">
        <v>72.0</v>
      </c>
      <c r="B79" s="31" t="s">
        <v>483</v>
      </c>
      <c r="C79" s="31">
        <v>3.0</v>
      </c>
      <c r="D79" s="31" t="s">
        <v>482</v>
      </c>
      <c r="E79" s="15"/>
    </row>
    <row r="80">
      <c r="A80" s="86">
        <v>73.0</v>
      </c>
      <c r="B80" s="31" t="s">
        <v>485</v>
      </c>
      <c r="C80" s="31">
        <v>3.0</v>
      </c>
      <c r="D80" s="31" t="s">
        <v>482</v>
      </c>
      <c r="E80" s="15"/>
    </row>
    <row r="81">
      <c r="A81" s="86">
        <v>74.0</v>
      </c>
      <c r="B81" s="31" t="s">
        <v>486</v>
      </c>
      <c r="C81" s="31">
        <v>1.0</v>
      </c>
      <c r="D81" s="31" t="s">
        <v>487</v>
      </c>
      <c r="E81" s="15"/>
    </row>
    <row r="82">
      <c r="A82" s="86">
        <v>75.0</v>
      </c>
      <c r="B82" s="31" t="s">
        <v>489</v>
      </c>
      <c r="C82" s="31">
        <v>1.0</v>
      </c>
      <c r="D82" s="31" t="s">
        <v>487</v>
      </c>
      <c r="E82" s="15"/>
    </row>
    <row r="83">
      <c r="A83" s="86">
        <v>76.0</v>
      </c>
      <c r="B83" s="31" t="s">
        <v>490</v>
      </c>
      <c r="C83" s="31">
        <v>1.0</v>
      </c>
      <c r="D83" s="31" t="s">
        <v>487</v>
      </c>
      <c r="E83" s="15"/>
    </row>
    <row r="84">
      <c r="A84" s="86">
        <v>77.0</v>
      </c>
      <c r="B84" s="31" t="s">
        <v>492</v>
      </c>
      <c r="C84" s="31">
        <v>1.0</v>
      </c>
      <c r="D84" s="31" t="s">
        <v>487</v>
      </c>
      <c r="E84" s="15"/>
    </row>
    <row r="85">
      <c r="A85" s="86">
        <v>78.0</v>
      </c>
      <c r="B85" s="31" t="s">
        <v>493</v>
      </c>
      <c r="C85" s="31">
        <v>2.0</v>
      </c>
      <c r="D85" s="31" t="s">
        <v>487</v>
      </c>
      <c r="E85" s="15"/>
    </row>
    <row r="86">
      <c r="A86" s="86">
        <v>79.0</v>
      </c>
      <c r="B86" s="31" t="s">
        <v>494</v>
      </c>
      <c r="C86" s="31">
        <v>2.0</v>
      </c>
      <c r="D86" s="31" t="s">
        <v>487</v>
      </c>
      <c r="E86" s="15"/>
    </row>
    <row r="87">
      <c r="A87" s="86">
        <v>80.0</v>
      </c>
      <c r="B87" s="31" t="s">
        <v>496</v>
      </c>
      <c r="C87" s="31">
        <v>2.0</v>
      </c>
      <c r="D87" s="31" t="s">
        <v>487</v>
      </c>
      <c r="E87" s="15"/>
    </row>
    <row r="88">
      <c r="A88" s="86">
        <v>81.0</v>
      </c>
      <c r="B88" s="31" t="s">
        <v>498</v>
      </c>
      <c r="C88" s="31">
        <v>1.0</v>
      </c>
      <c r="D88" s="31" t="s">
        <v>487</v>
      </c>
      <c r="E88" s="15"/>
    </row>
    <row r="89">
      <c r="A89" s="86">
        <v>82.0</v>
      </c>
      <c r="B89" s="31" t="s">
        <v>499</v>
      </c>
      <c r="C89" s="31">
        <v>2.0</v>
      </c>
      <c r="D89" s="31" t="s">
        <v>500</v>
      </c>
      <c r="E89" s="15"/>
    </row>
    <row r="90">
      <c r="A90" s="86">
        <v>83.0</v>
      </c>
      <c r="B90" s="31" t="s">
        <v>502</v>
      </c>
      <c r="C90" s="31">
        <v>2.0</v>
      </c>
      <c r="D90" s="31" t="s">
        <v>500</v>
      </c>
      <c r="E90" s="15"/>
    </row>
    <row r="91">
      <c r="A91" s="86">
        <v>84.0</v>
      </c>
      <c r="B91" s="31" t="s">
        <v>503</v>
      </c>
      <c r="C91" s="31">
        <v>2.0</v>
      </c>
      <c r="D91" s="31" t="s">
        <v>500</v>
      </c>
      <c r="E91" s="15"/>
    </row>
    <row r="92">
      <c r="A92" s="86">
        <v>85.0</v>
      </c>
      <c r="B92" s="31" t="s">
        <v>504</v>
      </c>
      <c r="C92" s="31">
        <v>2.0</v>
      </c>
      <c r="D92" s="31" t="s">
        <v>500</v>
      </c>
      <c r="E92" s="15"/>
    </row>
    <row r="93">
      <c r="A93" s="86">
        <v>86.0</v>
      </c>
      <c r="B93" s="31" t="s">
        <v>506</v>
      </c>
      <c r="C93" s="31">
        <v>2.0</v>
      </c>
      <c r="D93" s="31" t="s">
        <v>500</v>
      </c>
      <c r="E93" s="15"/>
    </row>
    <row r="94">
      <c r="A94" s="86">
        <v>87.0</v>
      </c>
      <c r="B94" s="31" t="s">
        <v>508</v>
      </c>
      <c r="C94" s="31">
        <v>2.0</v>
      </c>
      <c r="D94" s="31" t="s">
        <v>500</v>
      </c>
      <c r="E94" s="15"/>
    </row>
    <row r="95">
      <c r="A95" s="86">
        <v>88.0</v>
      </c>
      <c r="B95" s="31" t="s">
        <v>509</v>
      </c>
      <c r="C95" s="31">
        <v>2.0</v>
      </c>
      <c r="D95" s="31" t="s">
        <v>500</v>
      </c>
      <c r="E95" s="15"/>
    </row>
    <row r="96">
      <c r="A96" s="86">
        <v>89.0</v>
      </c>
      <c r="B96" s="31" t="s">
        <v>511</v>
      </c>
      <c r="C96" s="31">
        <v>2.0</v>
      </c>
      <c r="D96" s="31" t="s">
        <v>512</v>
      </c>
      <c r="E96" s="15"/>
    </row>
    <row r="97">
      <c r="A97" s="86">
        <v>90.0</v>
      </c>
      <c r="B97" s="31" t="s">
        <v>513</v>
      </c>
      <c r="C97" s="31">
        <v>1.0</v>
      </c>
      <c r="D97" s="31" t="s">
        <v>512</v>
      </c>
      <c r="E97" s="15"/>
    </row>
    <row r="98">
      <c r="A98" s="86">
        <v>91.0</v>
      </c>
      <c r="B98" s="31" t="s">
        <v>515</v>
      </c>
      <c r="C98" s="31">
        <v>1.0</v>
      </c>
      <c r="D98" s="31" t="s">
        <v>512</v>
      </c>
      <c r="E98" s="15"/>
    </row>
    <row r="99">
      <c r="A99" s="86">
        <v>92.0</v>
      </c>
      <c r="B99" s="31" t="s">
        <v>517</v>
      </c>
      <c r="C99" s="31">
        <v>1.0</v>
      </c>
      <c r="D99" s="31" t="s">
        <v>512</v>
      </c>
      <c r="E99" s="15"/>
    </row>
    <row r="100">
      <c r="A100" s="86">
        <v>93.0</v>
      </c>
      <c r="B100" s="31" t="s">
        <v>519</v>
      </c>
      <c r="C100" s="31">
        <v>3.0</v>
      </c>
      <c r="D100" s="31" t="s">
        <v>512</v>
      </c>
      <c r="E100" s="15"/>
    </row>
    <row r="101">
      <c r="A101" s="86">
        <v>94.0</v>
      </c>
      <c r="B101" s="31" t="s">
        <v>520</v>
      </c>
      <c r="C101" s="31">
        <v>2.0</v>
      </c>
      <c r="D101" s="31" t="s">
        <v>512</v>
      </c>
      <c r="E101" s="15"/>
    </row>
    <row r="102">
      <c r="A102" s="86">
        <v>95.0</v>
      </c>
      <c r="B102" s="31" t="s">
        <v>522</v>
      </c>
      <c r="C102" s="31">
        <v>2.0</v>
      </c>
      <c r="D102" s="31" t="s">
        <v>512</v>
      </c>
      <c r="E102" s="15"/>
    </row>
    <row r="103">
      <c r="A103" s="86"/>
      <c r="B103" s="31" t="s">
        <v>523</v>
      </c>
      <c r="C103" s="31">
        <v>2.0</v>
      </c>
      <c r="D103" s="31" t="s">
        <v>512</v>
      </c>
      <c r="E103" s="15"/>
    </row>
    <row r="104">
      <c r="A104" s="86">
        <v>96.0</v>
      </c>
      <c r="B104" s="31" t="s">
        <v>525</v>
      </c>
      <c r="C104" s="31">
        <v>1.0</v>
      </c>
      <c r="D104" s="31" t="s">
        <v>425</v>
      </c>
      <c r="E104" s="15"/>
    </row>
    <row r="105">
      <c r="A105" s="86"/>
      <c r="B105" s="31" t="s">
        <v>526</v>
      </c>
      <c r="C105" s="31"/>
      <c r="D105" s="31" t="s">
        <v>425</v>
      </c>
      <c r="E105" s="15"/>
    </row>
    <row r="106">
      <c r="A106" s="86">
        <v>97.0</v>
      </c>
      <c r="B106" s="31" t="s">
        <v>529</v>
      </c>
      <c r="C106" s="31">
        <v>1.0</v>
      </c>
      <c r="D106" s="31" t="s">
        <v>425</v>
      </c>
      <c r="E106" s="15"/>
    </row>
    <row r="107">
      <c r="A107" s="86">
        <v>98.0</v>
      </c>
      <c r="B107" s="31" t="s">
        <v>530</v>
      </c>
      <c r="C107" s="31">
        <v>1.0</v>
      </c>
      <c r="D107" s="31" t="s">
        <v>425</v>
      </c>
      <c r="E107" s="15"/>
    </row>
    <row r="108">
      <c r="A108" s="86">
        <v>99.0</v>
      </c>
      <c r="B108" s="31" t="s">
        <v>532</v>
      </c>
      <c r="C108" s="31">
        <v>1.0</v>
      </c>
      <c r="D108" s="31" t="s">
        <v>425</v>
      </c>
      <c r="E108" s="15"/>
    </row>
    <row r="109">
      <c r="A109" s="86">
        <v>100.0</v>
      </c>
      <c r="B109" s="31" t="s">
        <v>533</v>
      </c>
      <c r="C109" s="31">
        <v>1.0</v>
      </c>
      <c r="D109" s="31" t="s">
        <v>425</v>
      </c>
      <c r="E109" s="15"/>
    </row>
    <row r="110">
      <c r="A110" s="86">
        <v>101.0</v>
      </c>
      <c r="B110" s="31" t="s">
        <v>535</v>
      </c>
      <c r="C110" s="31">
        <v>1.0</v>
      </c>
      <c r="D110" s="31" t="s">
        <v>425</v>
      </c>
      <c r="E110" s="15"/>
    </row>
    <row r="111">
      <c r="A111" s="86">
        <v>102.0</v>
      </c>
      <c r="B111" s="31" t="s">
        <v>536</v>
      </c>
      <c r="C111" s="31">
        <v>1.0</v>
      </c>
      <c r="D111" s="31" t="s">
        <v>425</v>
      </c>
      <c r="E111" s="15"/>
    </row>
    <row r="112">
      <c r="A112" s="86">
        <v>103.0</v>
      </c>
      <c r="B112" s="31" t="s">
        <v>538</v>
      </c>
      <c r="C112" s="31">
        <v>1.0</v>
      </c>
      <c r="D112" s="31" t="s">
        <v>425</v>
      </c>
      <c r="E112" s="15"/>
    </row>
    <row r="113">
      <c r="A113" s="86">
        <v>104.0</v>
      </c>
      <c r="B113" s="31" t="s">
        <v>540</v>
      </c>
      <c r="C113" s="31">
        <v>1.0</v>
      </c>
      <c r="D113" s="31" t="s">
        <v>425</v>
      </c>
      <c r="E113" s="15"/>
    </row>
    <row r="114">
      <c r="A114" s="86">
        <v>105.0</v>
      </c>
      <c r="B114" s="31" t="s">
        <v>541</v>
      </c>
      <c r="C114" s="31">
        <v>1.0</v>
      </c>
      <c r="D114" s="31" t="s">
        <v>425</v>
      </c>
      <c r="E114" s="15"/>
    </row>
    <row r="115">
      <c r="A115" s="86">
        <v>106.0</v>
      </c>
      <c r="B115" s="31" t="s">
        <v>544</v>
      </c>
      <c r="C115" s="31">
        <v>1.0</v>
      </c>
      <c r="D115" s="31" t="s">
        <v>425</v>
      </c>
      <c r="E115" s="15"/>
    </row>
    <row r="116">
      <c r="A116" s="86">
        <v>107.0</v>
      </c>
      <c r="B116" s="31" t="s">
        <v>545</v>
      </c>
      <c r="C116" s="31">
        <v>2.0</v>
      </c>
      <c r="D116" s="31" t="s">
        <v>425</v>
      </c>
      <c r="E116" s="15"/>
    </row>
    <row r="117">
      <c r="A117" s="86">
        <v>108.0</v>
      </c>
      <c r="B117" s="31" t="s">
        <v>547</v>
      </c>
      <c r="C117" s="31">
        <v>1.0</v>
      </c>
      <c r="D117" s="31" t="s">
        <v>425</v>
      </c>
      <c r="E117" s="15"/>
    </row>
    <row r="118">
      <c r="A118" s="86">
        <v>109.0</v>
      </c>
      <c r="B118" s="31" t="s">
        <v>548</v>
      </c>
      <c r="C118" s="31">
        <v>1.0</v>
      </c>
      <c r="D118" s="31" t="s">
        <v>425</v>
      </c>
      <c r="E118" s="15"/>
    </row>
    <row r="119">
      <c r="A119" s="86">
        <v>110.0</v>
      </c>
      <c r="B119" s="31" t="s">
        <v>550</v>
      </c>
      <c r="C119" s="31">
        <v>1.0</v>
      </c>
      <c r="D119" s="31" t="s">
        <v>425</v>
      </c>
      <c r="E119" s="15"/>
    </row>
    <row r="120">
      <c r="A120" s="86">
        <v>111.0</v>
      </c>
      <c r="B120" s="31" t="s">
        <v>551</v>
      </c>
      <c r="C120" s="31">
        <v>1.0</v>
      </c>
      <c r="D120" s="31" t="s">
        <v>425</v>
      </c>
      <c r="E120" s="15"/>
    </row>
    <row r="121">
      <c r="A121" s="86">
        <v>112.0</v>
      </c>
      <c r="B121" s="31" t="s">
        <v>553</v>
      </c>
      <c r="C121" s="31">
        <v>1.0</v>
      </c>
      <c r="D121" s="31" t="s">
        <v>425</v>
      </c>
      <c r="E121" s="15"/>
    </row>
    <row r="122">
      <c r="A122" s="86">
        <v>113.0</v>
      </c>
      <c r="B122" s="31" t="s">
        <v>554</v>
      </c>
      <c r="C122" s="31">
        <v>2.0</v>
      </c>
      <c r="D122" s="31" t="s">
        <v>425</v>
      </c>
      <c r="E122" s="15"/>
    </row>
    <row r="123">
      <c r="A123" s="86">
        <v>114.0</v>
      </c>
      <c r="B123" s="31" t="s">
        <v>555</v>
      </c>
      <c r="C123" s="31">
        <v>1.0</v>
      </c>
      <c r="D123" s="31" t="s">
        <v>425</v>
      </c>
      <c r="E123" s="15"/>
    </row>
    <row r="124">
      <c r="A124" s="86">
        <v>115.0</v>
      </c>
      <c r="B124" s="31" t="s">
        <v>557</v>
      </c>
      <c r="C124" s="31">
        <v>1.0</v>
      </c>
      <c r="D124" s="31" t="s">
        <v>425</v>
      </c>
      <c r="E124" s="15"/>
    </row>
    <row r="125">
      <c r="A125" s="86">
        <v>116.0</v>
      </c>
      <c r="B125" s="31" t="s">
        <v>558</v>
      </c>
      <c r="C125" s="31">
        <v>1.0</v>
      </c>
      <c r="D125" s="31" t="s">
        <v>425</v>
      </c>
      <c r="E125" s="15"/>
    </row>
    <row r="126">
      <c r="A126" s="86">
        <v>117.0</v>
      </c>
      <c r="B126" s="31" t="s">
        <v>560</v>
      </c>
      <c r="C126" s="31">
        <v>1.0</v>
      </c>
      <c r="D126" s="31" t="s">
        <v>425</v>
      </c>
      <c r="E126" s="15"/>
    </row>
    <row r="127">
      <c r="A127" s="86">
        <v>118.0</v>
      </c>
      <c r="B127" s="31" t="s">
        <v>561</v>
      </c>
      <c r="C127" s="31">
        <v>1.0</v>
      </c>
      <c r="D127" s="31" t="s">
        <v>425</v>
      </c>
      <c r="E127" s="15"/>
    </row>
    <row r="128">
      <c r="A128" s="86">
        <v>119.0</v>
      </c>
      <c r="B128" s="31" t="s">
        <v>566</v>
      </c>
      <c r="C128" s="31">
        <v>1.0</v>
      </c>
      <c r="D128" s="31" t="s">
        <v>425</v>
      </c>
      <c r="E128" s="15"/>
    </row>
    <row r="129">
      <c r="A129" s="86">
        <v>120.0</v>
      </c>
      <c r="B129" s="31" t="s">
        <v>568</v>
      </c>
      <c r="C129" s="31">
        <v>1.0</v>
      </c>
      <c r="D129" s="31" t="s">
        <v>425</v>
      </c>
      <c r="E129" s="15"/>
    </row>
    <row r="130">
      <c r="A130" s="86">
        <v>121.0</v>
      </c>
      <c r="B130" s="31" t="s">
        <v>569</v>
      </c>
      <c r="C130" s="31">
        <v>1.0</v>
      </c>
      <c r="D130" s="31" t="s">
        <v>425</v>
      </c>
      <c r="E130" s="15"/>
    </row>
    <row r="131">
      <c r="A131" s="86">
        <v>122.0</v>
      </c>
      <c r="B131" s="31" t="s">
        <v>571</v>
      </c>
      <c r="C131" s="31">
        <v>1.0</v>
      </c>
      <c r="D131" s="31" t="s">
        <v>425</v>
      </c>
      <c r="E131" s="15"/>
    </row>
    <row r="132">
      <c r="A132" s="86">
        <v>123.0</v>
      </c>
      <c r="B132" s="31" t="s">
        <v>573</v>
      </c>
      <c r="C132" s="31">
        <v>1.0</v>
      </c>
      <c r="D132" s="31" t="s">
        <v>425</v>
      </c>
      <c r="E132" s="15"/>
    </row>
    <row r="133">
      <c r="A133" s="86">
        <v>124.0</v>
      </c>
      <c r="B133" s="31" t="s">
        <v>575</v>
      </c>
      <c r="C133" s="31">
        <v>1.0</v>
      </c>
      <c r="D133" s="31" t="s">
        <v>425</v>
      </c>
      <c r="E133" s="15"/>
    </row>
    <row r="134">
      <c r="A134" s="86">
        <v>125.0</v>
      </c>
      <c r="B134" s="31" t="s">
        <v>576</v>
      </c>
      <c r="C134" s="31">
        <v>1.0</v>
      </c>
      <c r="D134" s="31" t="s">
        <v>425</v>
      </c>
      <c r="E134" s="15"/>
    </row>
    <row r="135">
      <c r="A135" s="86">
        <v>126.0</v>
      </c>
      <c r="B135" s="31" t="s">
        <v>579</v>
      </c>
      <c r="C135" s="31">
        <v>1.0</v>
      </c>
      <c r="D135" s="31" t="s">
        <v>425</v>
      </c>
      <c r="E135" s="15"/>
    </row>
    <row r="136">
      <c r="A136" s="86">
        <v>127.0</v>
      </c>
      <c r="B136" s="31" t="s">
        <v>581</v>
      </c>
      <c r="C136" s="31">
        <v>1.0</v>
      </c>
      <c r="D136" s="31" t="s">
        <v>425</v>
      </c>
      <c r="E136" s="15"/>
    </row>
    <row r="137">
      <c r="A137" s="86">
        <v>128.0</v>
      </c>
      <c r="B137" s="31" t="s">
        <v>583</v>
      </c>
      <c r="C137" s="31">
        <v>3.0</v>
      </c>
      <c r="D137" s="31" t="s">
        <v>584</v>
      </c>
      <c r="E137" s="15"/>
    </row>
    <row r="138">
      <c r="A138" s="86">
        <v>129.0</v>
      </c>
      <c r="B138" s="31" t="s">
        <v>586</v>
      </c>
      <c r="C138" s="31">
        <v>3.0</v>
      </c>
      <c r="D138" s="31" t="s">
        <v>584</v>
      </c>
      <c r="E138" s="15"/>
    </row>
    <row r="139">
      <c r="A139" s="86">
        <v>130.0</v>
      </c>
      <c r="B139" s="31" t="s">
        <v>588</v>
      </c>
      <c r="C139" s="31">
        <v>3.0</v>
      </c>
      <c r="D139" s="31" t="s">
        <v>584</v>
      </c>
      <c r="E139" s="15"/>
    </row>
    <row r="140">
      <c r="A140" s="86">
        <v>131.0</v>
      </c>
      <c r="B140" s="31" t="s">
        <v>590</v>
      </c>
      <c r="C140" s="31">
        <v>4.0</v>
      </c>
      <c r="D140" s="31" t="s">
        <v>592</v>
      </c>
      <c r="E140" s="15"/>
    </row>
    <row r="141">
      <c r="A141" s="86">
        <v>132.0</v>
      </c>
      <c r="B141" s="31" t="s">
        <v>594</v>
      </c>
      <c r="C141" s="31">
        <v>4.0</v>
      </c>
      <c r="D141" s="31" t="s">
        <v>592</v>
      </c>
      <c r="E141" s="15"/>
    </row>
    <row r="142">
      <c r="A142" s="86">
        <v>133.0</v>
      </c>
      <c r="B142" s="31" t="s">
        <v>596</v>
      </c>
      <c r="C142" s="31">
        <v>3.0</v>
      </c>
      <c r="D142" s="31" t="s">
        <v>592</v>
      </c>
      <c r="E142" s="15"/>
    </row>
    <row r="143">
      <c r="A143" s="86">
        <v>134.0</v>
      </c>
      <c r="B143" s="31" t="s">
        <v>598</v>
      </c>
      <c r="C143" s="31">
        <v>1.0</v>
      </c>
      <c r="D143" s="31" t="s">
        <v>599</v>
      </c>
      <c r="E143" s="15"/>
    </row>
    <row r="144">
      <c r="A144" s="86">
        <v>135.0</v>
      </c>
      <c r="B144" s="31" t="s">
        <v>601</v>
      </c>
      <c r="C144" s="31">
        <v>1.0</v>
      </c>
      <c r="D144" s="31" t="s">
        <v>599</v>
      </c>
      <c r="E144" s="15"/>
    </row>
    <row r="145">
      <c r="A145" s="86">
        <v>136.0</v>
      </c>
      <c r="B145" s="31" t="s">
        <v>604</v>
      </c>
      <c r="C145" s="31">
        <v>1.0</v>
      </c>
      <c r="D145" s="31" t="s">
        <v>599</v>
      </c>
      <c r="E145" s="15"/>
    </row>
    <row r="146">
      <c r="A146" s="86">
        <v>137.0</v>
      </c>
      <c r="B146" s="31" t="s">
        <v>605</v>
      </c>
      <c r="C146" s="31">
        <v>1.0</v>
      </c>
      <c r="D146" s="31" t="s">
        <v>599</v>
      </c>
      <c r="E146" s="15"/>
    </row>
    <row r="147">
      <c r="A147" s="86">
        <v>138.0</v>
      </c>
      <c r="B147" s="31" t="s">
        <v>607</v>
      </c>
      <c r="C147" s="31">
        <v>4.0</v>
      </c>
      <c r="D147" s="31" t="s">
        <v>599</v>
      </c>
      <c r="E147" s="15"/>
    </row>
    <row r="148">
      <c r="A148" s="86">
        <v>139.0</v>
      </c>
      <c r="B148" s="31" t="s">
        <v>608</v>
      </c>
      <c r="C148" s="31">
        <v>1.0</v>
      </c>
      <c r="D148" s="31" t="s">
        <v>599</v>
      </c>
      <c r="E148" s="15"/>
    </row>
    <row r="149">
      <c r="A149" s="86">
        <v>140.0</v>
      </c>
      <c r="B149" s="31" t="s">
        <v>610</v>
      </c>
      <c r="C149" s="31">
        <v>1.0</v>
      </c>
      <c r="D149" s="31" t="s">
        <v>599</v>
      </c>
      <c r="E149" s="15"/>
    </row>
    <row r="150">
      <c r="A150" s="86">
        <v>141.0</v>
      </c>
      <c r="B150" s="31" t="s">
        <v>611</v>
      </c>
      <c r="C150" s="31">
        <v>2.0</v>
      </c>
      <c r="D150" s="31" t="s">
        <v>613</v>
      </c>
      <c r="E150" s="15"/>
    </row>
    <row r="151">
      <c r="A151" s="86">
        <v>142.0</v>
      </c>
      <c r="B151" s="31" t="s">
        <v>614</v>
      </c>
      <c r="C151" s="31">
        <v>2.0</v>
      </c>
      <c r="D151" s="31" t="s">
        <v>613</v>
      </c>
      <c r="E151" s="15"/>
    </row>
    <row r="152">
      <c r="A152" s="86">
        <v>143.0</v>
      </c>
      <c r="B152" s="31" t="s">
        <v>616</v>
      </c>
      <c r="C152" s="31">
        <v>2.0</v>
      </c>
      <c r="D152" s="31" t="s">
        <v>613</v>
      </c>
      <c r="E152" s="15"/>
    </row>
    <row r="153">
      <c r="A153" s="86">
        <v>144.0</v>
      </c>
      <c r="B153" s="31" t="s">
        <v>619</v>
      </c>
      <c r="C153" s="31">
        <v>2.0</v>
      </c>
      <c r="D153" s="31" t="s">
        <v>613</v>
      </c>
      <c r="E153" s="15"/>
    </row>
    <row r="154">
      <c r="A154" s="86">
        <v>145.0</v>
      </c>
      <c r="B154" s="31" t="s">
        <v>544</v>
      </c>
      <c r="C154" s="31">
        <v>1.0</v>
      </c>
      <c r="D154" s="31" t="s">
        <v>621</v>
      </c>
      <c r="E154" s="15"/>
    </row>
    <row r="155">
      <c r="A155" s="86">
        <v>146.0</v>
      </c>
      <c r="B155" s="31" t="s">
        <v>622</v>
      </c>
      <c r="C155" s="31">
        <v>2.0</v>
      </c>
      <c r="D155" s="31" t="s">
        <v>621</v>
      </c>
      <c r="E155" s="15"/>
    </row>
    <row r="156">
      <c r="A156" s="86">
        <v>147.0</v>
      </c>
      <c r="B156" s="31" t="s">
        <v>624</v>
      </c>
      <c r="C156" s="31">
        <v>2.0</v>
      </c>
      <c r="D156" s="31" t="s">
        <v>621</v>
      </c>
      <c r="E156" s="15"/>
    </row>
    <row r="157">
      <c r="A157" s="86">
        <v>148.0</v>
      </c>
      <c r="B157" s="31" t="s">
        <v>625</v>
      </c>
      <c r="C157" s="31">
        <v>1.0</v>
      </c>
      <c r="D157" s="31" t="s">
        <v>621</v>
      </c>
      <c r="E157" s="15"/>
    </row>
    <row r="158">
      <c r="A158" s="86">
        <v>149.0</v>
      </c>
      <c r="B158" s="31" t="s">
        <v>627</v>
      </c>
      <c r="C158" s="31">
        <v>1.0</v>
      </c>
      <c r="D158" s="31" t="s">
        <v>621</v>
      </c>
      <c r="E158" s="15"/>
    </row>
    <row r="159">
      <c r="A159" s="86">
        <v>150.0</v>
      </c>
      <c r="B159" s="31" t="s">
        <v>628</v>
      </c>
      <c r="C159" s="31">
        <v>2.0</v>
      </c>
      <c r="D159" s="31" t="s">
        <v>621</v>
      </c>
      <c r="E159" s="15"/>
    </row>
    <row r="160">
      <c r="A160" s="86">
        <v>151.0</v>
      </c>
      <c r="B160" s="31" t="s">
        <v>630</v>
      </c>
      <c r="C160" s="31">
        <v>2.0</v>
      </c>
      <c r="D160" s="31" t="s">
        <v>621</v>
      </c>
      <c r="E160" s="15"/>
    </row>
    <row r="161">
      <c r="A161" s="86">
        <v>152.0</v>
      </c>
      <c r="B161" s="31" t="s">
        <v>631</v>
      </c>
      <c r="C161" s="31">
        <v>2.0</v>
      </c>
      <c r="D161" s="31" t="s">
        <v>621</v>
      </c>
      <c r="E161" s="15"/>
    </row>
    <row r="162">
      <c r="A162" s="86">
        <v>153.0</v>
      </c>
      <c r="B162" s="31" t="s">
        <v>633</v>
      </c>
      <c r="C162" s="31">
        <v>2.0</v>
      </c>
      <c r="D162" s="31" t="s">
        <v>621</v>
      </c>
      <c r="E162" s="15"/>
    </row>
    <row r="163">
      <c r="A163" s="86">
        <v>154.0</v>
      </c>
      <c r="B163" s="31" t="s">
        <v>634</v>
      </c>
      <c r="C163" s="31">
        <v>1.0</v>
      </c>
      <c r="D163" s="31" t="s">
        <v>635</v>
      </c>
      <c r="E163" s="15"/>
    </row>
    <row r="164">
      <c r="A164" s="86">
        <v>155.0</v>
      </c>
      <c r="B164" s="31" t="s">
        <v>637</v>
      </c>
      <c r="C164" s="31">
        <v>1.0</v>
      </c>
      <c r="D164" s="31" t="s">
        <v>639</v>
      </c>
      <c r="E164" s="15"/>
    </row>
    <row r="165">
      <c r="A165" s="86">
        <v>156.0</v>
      </c>
      <c r="B165" s="31" t="s">
        <v>640</v>
      </c>
      <c r="C165" s="31">
        <v>1.0</v>
      </c>
      <c r="D165" s="31" t="s">
        <v>639</v>
      </c>
      <c r="E165" s="15"/>
    </row>
    <row r="166">
      <c r="A166" s="86">
        <v>157.0</v>
      </c>
      <c r="B166" s="31" t="s">
        <v>642</v>
      </c>
      <c r="C166" s="31">
        <v>1.0</v>
      </c>
      <c r="D166" s="31" t="s">
        <v>639</v>
      </c>
      <c r="E166" s="15"/>
    </row>
    <row r="167">
      <c r="A167" s="86">
        <v>158.0</v>
      </c>
      <c r="B167" s="31" t="s">
        <v>644</v>
      </c>
      <c r="C167" s="31">
        <v>1.0</v>
      </c>
      <c r="D167" s="31" t="s">
        <v>639</v>
      </c>
      <c r="E167" s="15"/>
    </row>
    <row r="168">
      <c r="A168" s="86">
        <v>159.0</v>
      </c>
      <c r="B168" s="31" t="s">
        <v>646</v>
      </c>
      <c r="C168" s="31">
        <v>1.0</v>
      </c>
      <c r="D168" s="31" t="s">
        <v>639</v>
      </c>
      <c r="E168" s="15"/>
    </row>
    <row r="169">
      <c r="A169" s="86">
        <v>160.0</v>
      </c>
      <c r="B169" s="31" t="s">
        <v>647</v>
      </c>
      <c r="C169" s="31">
        <v>1.0</v>
      </c>
      <c r="D169" s="31" t="s">
        <v>639</v>
      </c>
      <c r="E169" s="15"/>
    </row>
    <row r="170">
      <c r="A170" s="86">
        <v>161.0</v>
      </c>
      <c r="B170" s="31" t="s">
        <v>649</v>
      </c>
      <c r="C170" s="31">
        <v>1.0</v>
      </c>
      <c r="D170" s="31" t="s">
        <v>639</v>
      </c>
      <c r="E170" s="15"/>
    </row>
    <row r="171">
      <c r="A171" s="86">
        <v>162.0</v>
      </c>
      <c r="B171" s="31" t="s">
        <v>650</v>
      </c>
      <c r="C171" s="31">
        <v>1.0</v>
      </c>
      <c r="D171" s="31" t="s">
        <v>639</v>
      </c>
      <c r="E171" s="15"/>
    </row>
    <row r="172">
      <c r="A172" s="86">
        <v>163.0</v>
      </c>
      <c r="B172" s="31" t="s">
        <v>652</v>
      </c>
      <c r="C172" s="31">
        <v>1.0</v>
      </c>
      <c r="D172" s="31" t="s">
        <v>639</v>
      </c>
      <c r="E172" s="15"/>
    </row>
    <row r="173">
      <c r="A173" s="86">
        <v>164.0</v>
      </c>
      <c r="B173" s="31" t="s">
        <v>653</v>
      </c>
      <c r="C173" s="31">
        <v>1.0</v>
      </c>
      <c r="D173" s="31" t="s">
        <v>639</v>
      </c>
      <c r="E173" s="15"/>
    </row>
    <row r="174">
      <c r="A174" s="86">
        <v>165.0</v>
      </c>
      <c r="B174" s="31" t="s">
        <v>655</v>
      </c>
      <c r="C174" s="31">
        <v>1.0</v>
      </c>
      <c r="D174" s="31" t="s">
        <v>639</v>
      </c>
      <c r="E174" s="15"/>
    </row>
    <row r="175">
      <c r="A175" s="86">
        <v>166.0</v>
      </c>
      <c r="B175" s="31" t="s">
        <v>657</v>
      </c>
      <c r="C175" s="31">
        <v>1.0</v>
      </c>
      <c r="D175" s="31" t="s">
        <v>639</v>
      </c>
      <c r="E175" s="15"/>
    </row>
    <row r="176">
      <c r="A176" s="86">
        <v>167.0</v>
      </c>
      <c r="B176" s="31" t="s">
        <v>658</v>
      </c>
      <c r="C176" s="31">
        <v>1.0</v>
      </c>
      <c r="D176" s="31" t="s">
        <v>639</v>
      </c>
      <c r="E176" s="15"/>
    </row>
    <row r="177">
      <c r="A177" s="86">
        <v>168.0</v>
      </c>
      <c r="B177" s="31" t="s">
        <v>660</v>
      </c>
      <c r="C177" s="31">
        <v>3.0</v>
      </c>
      <c r="D177" s="31" t="s">
        <v>639</v>
      </c>
      <c r="E177" s="15"/>
    </row>
    <row r="178">
      <c r="A178" s="86">
        <v>169.0</v>
      </c>
      <c r="B178" s="31" t="s">
        <v>661</v>
      </c>
      <c r="C178" s="31">
        <v>3.0</v>
      </c>
      <c r="D178" s="31" t="s">
        <v>639</v>
      </c>
      <c r="E178" s="15"/>
    </row>
    <row r="179">
      <c r="A179" s="86">
        <v>170.0</v>
      </c>
      <c r="B179" s="31" t="s">
        <v>663</v>
      </c>
      <c r="C179" s="31">
        <v>1.0</v>
      </c>
      <c r="D179" s="31" t="s">
        <v>639</v>
      </c>
      <c r="E179" s="15"/>
    </row>
    <row r="180">
      <c r="A180" s="86">
        <v>171.0</v>
      </c>
      <c r="B180" s="31" t="s">
        <v>664</v>
      </c>
      <c r="C180" s="31">
        <v>2.0</v>
      </c>
      <c r="D180" s="31" t="s">
        <v>639</v>
      </c>
      <c r="E180" s="15"/>
    </row>
    <row r="181">
      <c r="A181" s="86">
        <v>172.0</v>
      </c>
      <c r="B181" s="31" t="s">
        <v>666</v>
      </c>
      <c r="C181" s="31">
        <v>1.0</v>
      </c>
      <c r="D181" s="31" t="s">
        <v>639</v>
      </c>
      <c r="E181" s="15"/>
    </row>
    <row r="182">
      <c r="A182" s="86">
        <v>173.0</v>
      </c>
      <c r="B182" s="31" t="s">
        <v>667</v>
      </c>
      <c r="C182" s="31">
        <v>1.0</v>
      </c>
      <c r="D182" s="31" t="s">
        <v>639</v>
      </c>
      <c r="E182" s="15"/>
    </row>
    <row r="183">
      <c r="A183" s="86">
        <v>174.0</v>
      </c>
      <c r="B183" s="31" t="s">
        <v>669</v>
      </c>
      <c r="C183" s="31">
        <v>3.0</v>
      </c>
      <c r="D183" s="31" t="s">
        <v>639</v>
      </c>
      <c r="E183" s="15"/>
    </row>
    <row r="184">
      <c r="A184" s="86">
        <v>175.0</v>
      </c>
      <c r="B184" s="31" t="s">
        <v>671</v>
      </c>
      <c r="C184" s="31">
        <v>1.0</v>
      </c>
      <c r="D184" s="31" t="s">
        <v>639</v>
      </c>
      <c r="E184" s="15"/>
    </row>
    <row r="185">
      <c r="A185" s="86">
        <v>176.0</v>
      </c>
      <c r="B185" s="31" t="s">
        <v>674</v>
      </c>
      <c r="C185" s="31">
        <v>1.0</v>
      </c>
      <c r="D185" s="31" t="s">
        <v>639</v>
      </c>
      <c r="E185" s="15"/>
    </row>
    <row r="186">
      <c r="A186" s="86">
        <v>177.0</v>
      </c>
      <c r="B186" s="31" t="s">
        <v>676</v>
      </c>
      <c r="C186" s="31">
        <v>1.0</v>
      </c>
      <c r="D186" s="31" t="s">
        <v>639</v>
      </c>
      <c r="E186" s="15"/>
    </row>
    <row r="187">
      <c r="A187" s="86">
        <v>178.0</v>
      </c>
      <c r="B187" s="31" t="s">
        <v>677</v>
      </c>
      <c r="C187" s="31">
        <v>1.0</v>
      </c>
      <c r="D187" s="31" t="s">
        <v>639</v>
      </c>
      <c r="E187" s="15"/>
    </row>
    <row r="188">
      <c r="A188" s="86">
        <v>179.0</v>
      </c>
      <c r="B188" s="31" t="s">
        <v>678</v>
      </c>
      <c r="C188" s="31">
        <v>1.0</v>
      </c>
      <c r="D188" s="31" t="s">
        <v>639</v>
      </c>
      <c r="E188" s="15"/>
    </row>
    <row r="189">
      <c r="A189" s="86">
        <v>180.0</v>
      </c>
      <c r="B189" s="31" t="s">
        <v>679</v>
      </c>
      <c r="C189" s="31">
        <v>1.0</v>
      </c>
      <c r="D189" s="31" t="s">
        <v>639</v>
      </c>
      <c r="E189" s="15"/>
    </row>
    <row r="190">
      <c r="A190" s="86">
        <v>181.0</v>
      </c>
      <c r="B190" s="31" t="s">
        <v>680</v>
      </c>
      <c r="C190" s="31">
        <v>1.0</v>
      </c>
      <c r="D190" s="31" t="s">
        <v>639</v>
      </c>
      <c r="E190" s="15"/>
    </row>
    <row r="191">
      <c r="A191" s="86">
        <v>182.0</v>
      </c>
      <c r="B191" s="31" t="s">
        <v>681</v>
      </c>
      <c r="C191" s="31">
        <v>3.0</v>
      </c>
      <c r="D191" s="31" t="s">
        <v>639</v>
      </c>
      <c r="E191" s="15"/>
    </row>
    <row r="192">
      <c r="A192" s="86">
        <v>183.0</v>
      </c>
      <c r="B192" s="31" t="s">
        <v>682</v>
      </c>
      <c r="C192" s="31">
        <v>1.0</v>
      </c>
      <c r="D192" s="31" t="s">
        <v>639</v>
      </c>
      <c r="E192" s="15"/>
    </row>
    <row r="193">
      <c r="A193" s="86">
        <v>184.0</v>
      </c>
      <c r="B193" s="31" t="s">
        <v>683</v>
      </c>
      <c r="C193" s="31">
        <v>2.0</v>
      </c>
      <c r="D193" s="31" t="s">
        <v>639</v>
      </c>
      <c r="E193" s="15"/>
    </row>
    <row r="194">
      <c r="A194" s="86">
        <v>185.0</v>
      </c>
      <c r="B194" s="31" t="s">
        <v>684</v>
      </c>
      <c r="C194" s="31">
        <v>1.0</v>
      </c>
      <c r="D194" s="31" t="s">
        <v>639</v>
      </c>
      <c r="E194" s="15"/>
    </row>
    <row r="195">
      <c r="A195" s="86">
        <v>186.0</v>
      </c>
      <c r="B195" s="31" t="s">
        <v>685</v>
      </c>
      <c r="C195" s="31">
        <v>1.0</v>
      </c>
      <c r="D195" s="31" t="s">
        <v>639</v>
      </c>
      <c r="E195" s="15"/>
    </row>
    <row r="196">
      <c r="A196" s="86">
        <v>187.0</v>
      </c>
      <c r="B196" s="31" t="s">
        <v>686</v>
      </c>
      <c r="C196" s="31">
        <v>1.0</v>
      </c>
      <c r="D196" s="31" t="s">
        <v>639</v>
      </c>
      <c r="E196" s="15"/>
    </row>
    <row r="197">
      <c r="A197" s="86">
        <v>188.0</v>
      </c>
      <c r="B197" s="31" t="s">
        <v>687</v>
      </c>
      <c r="C197" s="31">
        <v>1.0</v>
      </c>
      <c r="D197" s="31" t="s">
        <v>639</v>
      </c>
      <c r="E197" s="15"/>
    </row>
    <row r="198">
      <c r="A198" s="86">
        <v>189.0</v>
      </c>
      <c r="B198" s="31" t="s">
        <v>688</v>
      </c>
      <c r="C198" s="31">
        <v>1.0</v>
      </c>
      <c r="D198" s="31" t="s">
        <v>639</v>
      </c>
      <c r="E198" s="15"/>
    </row>
    <row r="199">
      <c r="A199" s="86">
        <v>190.0</v>
      </c>
      <c r="B199" s="31" t="s">
        <v>689</v>
      </c>
      <c r="C199" s="31">
        <v>28.0</v>
      </c>
      <c r="D199" s="31" t="s">
        <v>689</v>
      </c>
      <c r="E199" s="15"/>
    </row>
    <row r="200">
      <c r="A200" s="86">
        <v>191.0</v>
      </c>
      <c r="B200" s="31" t="s">
        <v>690</v>
      </c>
      <c r="C200" s="31">
        <v>1.0</v>
      </c>
      <c r="D200" s="31" t="s">
        <v>691</v>
      </c>
      <c r="E200" s="15"/>
    </row>
    <row r="201">
      <c r="A201" s="86">
        <v>192.0</v>
      </c>
      <c r="B201" s="31" t="s">
        <v>692</v>
      </c>
      <c r="C201" s="31">
        <v>2.0</v>
      </c>
      <c r="D201" s="31" t="s">
        <v>691</v>
      </c>
      <c r="E201" s="15"/>
    </row>
    <row r="202">
      <c r="A202" s="86">
        <v>193.0</v>
      </c>
      <c r="B202" s="31" t="s">
        <v>693</v>
      </c>
      <c r="C202" s="31">
        <v>1.0</v>
      </c>
      <c r="D202" s="31" t="s">
        <v>691</v>
      </c>
      <c r="E202" s="15"/>
    </row>
    <row r="203">
      <c r="A203" s="86">
        <v>194.0</v>
      </c>
      <c r="B203" s="31" t="s">
        <v>694</v>
      </c>
      <c r="C203" s="31">
        <v>1.0</v>
      </c>
      <c r="D203" s="31" t="s">
        <v>691</v>
      </c>
      <c r="E203" s="15"/>
    </row>
    <row r="204">
      <c r="A204" s="86">
        <v>195.0</v>
      </c>
      <c r="B204" s="31" t="s">
        <v>548</v>
      </c>
      <c r="C204" s="31">
        <v>1.0</v>
      </c>
      <c r="D204" s="31" t="s">
        <v>691</v>
      </c>
      <c r="E204" s="15"/>
    </row>
    <row r="205">
      <c r="A205" s="86">
        <v>196.0</v>
      </c>
      <c r="B205" s="31" t="s">
        <v>498</v>
      </c>
      <c r="C205" s="31">
        <v>1.0</v>
      </c>
      <c r="D205" s="31" t="s">
        <v>691</v>
      </c>
      <c r="E205" s="15"/>
    </row>
    <row r="206">
      <c r="A206" s="86">
        <v>197.0</v>
      </c>
      <c r="B206" s="31" t="s">
        <v>695</v>
      </c>
      <c r="C206" s="31">
        <v>2.0</v>
      </c>
      <c r="D206" s="31" t="s">
        <v>691</v>
      </c>
      <c r="E206" s="15"/>
    </row>
    <row r="207">
      <c r="A207" s="86">
        <v>198.0</v>
      </c>
      <c r="B207" s="31" t="s">
        <v>697</v>
      </c>
      <c r="C207" s="31">
        <v>2.0</v>
      </c>
      <c r="D207" s="31" t="s">
        <v>691</v>
      </c>
      <c r="E207" s="15"/>
    </row>
    <row r="208">
      <c r="A208" s="86">
        <v>199.0</v>
      </c>
      <c r="B208" s="31" t="s">
        <v>698</v>
      </c>
      <c r="C208" s="31">
        <v>1.0</v>
      </c>
      <c r="D208" s="31" t="s">
        <v>691</v>
      </c>
      <c r="E208" s="15"/>
    </row>
    <row r="209">
      <c r="A209" s="86">
        <v>200.0</v>
      </c>
      <c r="B209" s="31" t="s">
        <v>699</v>
      </c>
      <c r="C209" s="31">
        <v>2.0</v>
      </c>
      <c r="D209" s="31" t="s">
        <v>691</v>
      </c>
      <c r="E209" s="15"/>
    </row>
    <row r="210">
      <c r="A210" s="86">
        <v>201.0</v>
      </c>
      <c r="B210" s="31" t="s">
        <v>700</v>
      </c>
      <c r="C210" s="31">
        <v>1.0</v>
      </c>
      <c r="D210" s="31" t="s">
        <v>691</v>
      </c>
      <c r="E210" s="15"/>
    </row>
    <row r="211">
      <c r="A211" s="86">
        <v>202.0</v>
      </c>
      <c r="B211" s="31" t="s">
        <v>701</v>
      </c>
      <c r="C211" s="31">
        <v>1.0</v>
      </c>
      <c r="D211" s="31" t="s">
        <v>691</v>
      </c>
      <c r="E211" s="15"/>
    </row>
    <row r="212">
      <c r="A212" s="86">
        <v>203.0</v>
      </c>
      <c r="B212" s="31" t="s">
        <v>702</v>
      </c>
      <c r="C212" s="31">
        <v>1.0</v>
      </c>
      <c r="D212" s="31" t="s">
        <v>691</v>
      </c>
      <c r="E212" s="15"/>
    </row>
    <row r="213">
      <c r="A213" s="86">
        <v>204.0</v>
      </c>
      <c r="B213" s="31" t="s">
        <v>703</v>
      </c>
      <c r="C213" s="31">
        <v>1.0</v>
      </c>
      <c r="D213" s="31" t="s">
        <v>691</v>
      </c>
      <c r="E213" s="15"/>
    </row>
    <row r="214">
      <c r="A214" s="86">
        <v>205.0</v>
      </c>
      <c r="B214" s="31" t="s">
        <v>498</v>
      </c>
      <c r="C214" s="31">
        <v>1.0</v>
      </c>
      <c r="D214" s="31" t="s">
        <v>691</v>
      </c>
      <c r="E214" s="15"/>
    </row>
    <row r="215">
      <c r="A215" s="86">
        <v>206.0</v>
      </c>
      <c r="B215" s="31" t="s">
        <v>704</v>
      </c>
      <c r="C215" s="31">
        <v>1.0</v>
      </c>
      <c r="D215" s="31" t="s">
        <v>691</v>
      </c>
      <c r="E215" s="15"/>
    </row>
    <row r="216">
      <c r="A216" s="86">
        <v>207.0</v>
      </c>
      <c r="B216" s="31" t="s">
        <v>705</v>
      </c>
      <c r="C216" s="31">
        <v>1.0</v>
      </c>
      <c r="D216" s="31" t="s">
        <v>706</v>
      </c>
      <c r="E216" s="15"/>
    </row>
    <row r="217">
      <c r="A217" s="86">
        <v>208.0</v>
      </c>
      <c r="B217" s="31" t="s">
        <v>707</v>
      </c>
      <c r="C217" s="31">
        <v>1.0</v>
      </c>
      <c r="D217" s="31" t="s">
        <v>691</v>
      </c>
      <c r="E217" s="15"/>
    </row>
    <row r="218">
      <c r="A218" s="86">
        <v>209.0</v>
      </c>
      <c r="B218" s="31" t="s">
        <v>708</v>
      </c>
      <c r="C218" s="31">
        <v>2.0</v>
      </c>
      <c r="D218" s="31" t="s">
        <v>691</v>
      </c>
      <c r="E218" s="15"/>
    </row>
    <row r="219">
      <c r="A219" s="86">
        <v>210.0</v>
      </c>
      <c r="B219" s="31" t="s">
        <v>709</v>
      </c>
      <c r="C219" s="31">
        <v>1.0</v>
      </c>
      <c r="D219" s="31" t="s">
        <v>691</v>
      </c>
      <c r="E219" s="15"/>
    </row>
    <row r="220">
      <c r="A220" s="86">
        <v>211.0</v>
      </c>
      <c r="B220" s="31" t="s">
        <v>710</v>
      </c>
      <c r="C220" s="31">
        <v>2.0</v>
      </c>
      <c r="D220" s="31" t="s">
        <v>711</v>
      </c>
      <c r="E220" s="15"/>
    </row>
    <row r="221">
      <c r="A221" s="86">
        <v>212.0</v>
      </c>
      <c r="B221" s="31" t="s">
        <v>712</v>
      </c>
      <c r="C221" s="31">
        <v>1.0</v>
      </c>
      <c r="D221" s="31" t="s">
        <v>711</v>
      </c>
      <c r="E221" s="15"/>
    </row>
    <row r="222">
      <c r="A222" s="86">
        <v>213.0</v>
      </c>
      <c r="B222" s="31" t="s">
        <v>713</v>
      </c>
      <c r="C222" s="31">
        <v>1.0</v>
      </c>
      <c r="D222" s="31" t="s">
        <v>711</v>
      </c>
      <c r="E222" s="15"/>
    </row>
    <row r="223">
      <c r="A223" s="86">
        <v>214.0</v>
      </c>
      <c r="B223" s="31" t="s">
        <v>714</v>
      </c>
      <c r="C223" s="31">
        <v>2.0</v>
      </c>
      <c r="D223" s="31" t="s">
        <v>716</v>
      </c>
      <c r="E223" s="15"/>
    </row>
    <row r="224">
      <c r="A224" s="86">
        <v>215.0</v>
      </c>
      <c r="B224" s="31" t="s">
        <v>717</v>
      </c>
      <c r="C224" s="31">
        <v>2.0</v>
      </c>
      <c r="D224" s="31" t="s">
        <v>716</v>
      </c>
      <c r="E224" s="15"/>
    </row>
    <row r="225">
      <c r="A225" s="86">
        <v>216.0</v>
      </c>
      <c r="B225" s="31" t="s">
        <v>718</v>
      </c>
      <c r="C225" s="31">
        <v>1.0</v>
      </c>
      <c r="D225" s="31" t="s">
        <v>716</v>
      </c>
      <c r="E225" s="15"/>
    </row>
    <row r="226">
      <c r="A226" s="86">
        <v>217.0</v>
      </c>
      <c r="B226" s="31" t="s">
        <v>720</v>
      </c>
      <c r="C226" s="31">
        <v>2.0</v>
      </c>
      <c r="D226" s="31" t="s">
        <v>716</v>
      </c>
      <c r="E226" s="15"/>
    </row>
    <row r="227">
      <c r="A227" s="86">
        <v>218.0</v>
      </c>
      <c r="B227" s="31" t="s">
        <v>721</v>
      </c>
      <c r="C227" s="31">
        <v>2.0</v>
      </c>
      <c r="D227" s="31" t="s">
        <v>716</v>
      </c>
      <c r="E227" s="15"/>
    </row>
    <row r="228">
      <c r="A228" s="86">
        <v>219.0</v>
      </c>
      <c r="B228" s="31" t="s">
        <v>722</v>
      </c>
      <c r="C228" s="31">
        <v>2.0</v>
      </c>
      <c r="D228" s="31" t="s">
        <v>716</v>
      </c>
      <c r="E228" s="15"/>
    </row>
    <row r="229">
      <c r="A229" s="86">
        <v>220.0</v>
      </c>
      <c r="B229" s="31" t="s">
        <v>723</v>
      </c>
      <c r="C229" s="31">
        <v>1.0</v>
      </c>
      <c r="D229" s="31" t="s">
        <v>716</v>
      </c>
      <c r="E229" s="15"/>
    </row>
    <row r="230">
      <c r="A230" s="86">
        <v>221.0</v>
      </c>
      <c r="D230" s="31" t="s">
        <v>716</v>
      </c>
      <c r="E230" s="15"/>
    </row>
    <row r="231">
      <c r="A231" s="86">
        <v>222.0</v>
      </c>
      <c r="B231" s="31" t="s">
        <v>724</v>
      </c>
      <c r="C231" s="31">
        <v>1.0</v>
      </c>
      <c r="D231" s="31" t="s">
        <v>725</v>
      </c>
      <c r="E231" s="15"/>
    </row>
    <row r="232">
      <c r="A232" s="86">
        <v>223.0</v>
      </c>
      <c r="B232" s="31" t="s">
        <v>548</v>
      </c>
      <c r="C232" s="31">
        <v>2.0</v>
      </c>
      <c r="D232" s="31" t="s">
        <v>725</v>
      </c>
      <c r="E232" s="15"/>
    </row>
    <row r="233">
      <c r="A233" s="86">
        <v>224.0</v>
      </c>
      <c r="B233" s="31" t="s">
        <v>726</v>
      </c>
      <c r="C233" s="31">
        <v>1.0</v>
      </c>
      <c r="D233" s="31" t="s">
        <v>725</v>
      </c>
      <c r="E233" s="15"/>
    </row>
    <row r="234">
      <c r="A234" s="86">
        <v>225.0</v>
      </c>
      <c r="B234" s="31" t="s">
        <v>727</v>
      </c>
      <c r="C234" s="31">
        <v>1.0</v>
      </c>
      <c r="D234" s="31" t="s">
        <v>725</v>
      </c>
      <c r="E234" s="15"/>
    </row>
    <row r="235">
      <c r="A235" s="86">
        <v>226.0</v>
      </c>
      <c r="B235" s="31" t="s">
        <v>728</v>
      </c>
      <c r="C235" s="31">
        <v>1.0</v>
      </c>
      <c r="D235" s="31" t="s">
        <v>725</v>
      </c>
      <c r="E235" s="15"/>
    </row>
    <row r="236">
      <c r="A236" s="86">
        <v>227.0</v>
      </c>
      <c r="B236" s="31" t="s">
        <v>686</v>
      </c>
      <c r="C236" s="31">
        <v>1.0</v>
      </c>
      <c r="D236" s="31" t="s">
        <v>725</v>
      </c>
      <c r="E236" s="15"/>
    </row>
    <row r="237">
      <c r="A237" s="86">
        <v>228.0</v>
      </c>
      <c r="B237" s="31" t="s">
        <v>729</v>
      </c>
      <c r="C237" s="31">
        <v>1.0</v>
      </c>
      <c r="D237" s="31" t="s">
        <v>725</v>
      </c>
      <c r="E237" s="15"/>
    </row>
    <row r="238">
      <c r="A238" s="86">
        <v>229.0</v>
      </c>
      <c r="B238" s="31" t="s">
        <v>730</v>
      </c>
      <c r="C238" s="31">
        <v>1.0</v>
      </c>
      <c r="D238" s="31" t="s">
        <v>725</v>
      </c>
      <c r="E238" s="15"/>
    </row>
    <row r="239">
      <c r="A239" s="86">
        <v>230.0</v>
      </c>
      <c r="B239" s="31" t="s">
        <v>730</v>
      </c>
      <c r="C239" s="31">
        <v>1.0</v>
      </c>
      <c r="D239" s="31" t="s">
        <v>725</v>
      </c>
      <c r="E239" s="15"/>
    </row>
    <row r="240">
      <c r="A240" s="86">
        <v>231.0</v>
      </c>
      <c r="B240" s="31" t="s">
        <v>731</v>
      </c>
      <c r="C240" s="31">
        <v>1.0</v>
      </c>
      <c r="D240" s="31" t="s">
        <v>725</v>
      </c>
      <c r="E240" s="15"/>
    </row>
    <row r="241">
      <c r="A241" s="86"/>
      <c r="B241" s="31" t="s">
        <v>732</v>
      </c>
      <c r="C241" s="31">
        <v>2.0</v>
      </c>
      <c r="D241" s="31" t="s">
        <v>725</v>
      </c>
      <c r="E241" s="15"/>
    </row>
    <row r="242">
      <c r="A242" s="86"/>
      <c r="B242" s="31" t="s">
        <v>509</v>
      </c>
      <c r="C242" s="31">
        <v>2.0</v>
      </c>
      <c r="D242" s="31" t="s">
        <v>725</v>
      </c>
      <c r="E242" s="15"/>
    </row>
    <row r="243">
      <c r="A243" s="86"/>
      <c r="B243" s="31" t="s">
        <v>735</v>
      </c>
      <c r="C243" s="31">
        <v>2.0</v>
      </c>
      <c r="D243" s="31" t="s">
        <v>725</v>
      </c>
      <c r="E243" s="15"/>
    </row>
    <row r="244">
      <c r="A244" s="86"/>
      <c r="B244" s="31" t="s">
        <v>736</v>
      </c>
      <c r="C244" s="31">
        <v>2.0</v>
      </c>
      <c r="D244" s="31" t="s">
        <v>725</v>
      </c>
      <c r="E244" s="15"/>
    </row>
    <row r="245">
      <c r="A245" s="86"/>
      <c r="B245" s="31" t="s">
        <v>737</v>
      </c>
      <c r="C245" s="31">
        <v>2.0</v>
      </c>
      <c r="D245" s="31" t="s">
        <v>725</v>
      </c>
      <c r="E245" s="15"/>
    </row>
    <row r="246">
      <c r="A246" s="86"/>
      <c r="B246" s="31" t="s">
        <v>738</v>
      </c>
      <c r="C246" s="31">
        <v>2.0</v>
      </c>
      <c r="D246" s="31" t="s">
        <v>725</v>
      </c>
      <c r="E246" s="15"/>
    </row>
    <row r="247">
      <c r="A247" s="86"/>
      <c r="B247" s="31" t="s">
        <v>739</v>
      </c>
      <c r="C247" s="31">
        <v>2.0</v>
      </c>
      <c r="D247" s="31" t="s">
        <v>725</v>
      </c>
      <c r="E247" s="15"/>
    </row>
    <row r="248">
      <c r="A248" s="86">
        <v>232.0</v>
      </c>
      <c r="B248" s="31" t="s">
        <v>740</v>
      </c>
      <c r="C248" s="31">
        <v>1.0</v>
      </c>
      <c r="D248" s="31" t="s">
        <v>741</v>
      </c>
      <c r="E248" s="15"/>
    </row>
    <row r="249">
      <c r="A249" s="86">
        <v>233.0</v>
      </c>
      <c r="B249" s="31" t="s">
        <v>742</v>
      </c>
      <c r="C249" s="31">
        <v>1.0</v>
      </c>
      <c r="D249" s="31" t="s">
        <v>741</v>
      </c>
      <c r="E249" s="15"/>
    </row>
    <row r="250">
      <c r="A250" s="86">
        <v>234.0</v>
      </c>
      <c r="B250" s="31" t="s">
        <v>743</v>
      </c>
      <c r="C250" s="31">
        <v>1.0</v>
      </c>
      <c r="D250" s="31" t="s">
        <v>741</v>
      </c>
      <c r="E250" s="15"/>
    </row>
    <row r="251">
      <c r="A251" s="86">
        <v>235.0</v>
      </c>
      <c r="B251" s="87" t="s">
        <v>744</v>
      </c>
      <c r="E251" s="15"/>
    </row>
    <row r="252">
      <c r="A252" s="86">
        <v>236.0</v>
      </c>
      <c r="B252" s="31" t="s">
        <v>745</v>
      </c>
      <c r="C252" s="31">
        <v>2.0</v>
      </c>
      <c r="E252" s="15"/>
    </row>
    <row r="253">
      <c r="A253" s="86">
        <v>237.0</v>
      </c>
      <c r="B253" s="31" t="s">
        <v>747</v>
      </c>
      <c r="C253" s="31">
        <v>5.0</v>
      </c>
      <c r="E253" s="15"/>
    </row>
    <row r="254">
      <c r="A254" s="86">
        <v>238.0</v>
      </c>
      <c r="B254" s="31" t="s">
        <v>748</v>
      </c>
      <c r="C254" s="31">
        <v>3.0</v>
      </c>
      <c r="E254" s="15"/>
    </row>
    <row r="255">
      <c r="A255" s="86">
        <v>239.0</v>
      </c>
      <c r="B255" s="31" t="s">
        <v>749</v>
      </c>
      <c r="C255" s="31">
        <v>3.0</v>
      </c>
      <c r="E255" s="15"/>
    </row>
    <row r="256">
      <c r="A256" s="86">
        <v>240.0</v>
      </c>
      <c r="B256" s="31" t="s">
        <v>750</v>
      </c>
      <c r="C256" s="31">
        <v>1.0</v>
      </c>
      <c r="E256" s="15"/>
    </row>
    <row r="257">
      <c r="A257" s="86">
        <v>241.0</v>
      </c>
      <c r="B257" s="31" t="s">
        <v>627</v>
      </c>
      <c r="C257" s="31">
        <v>1.0</v>
      </c>
      <c r="E257" s="15"/>
    </row>
    <row r="258">
      <c r="A258" s="86">
        <v>242.0</v>
      </c>
      <c r="B258" s="31" t="s">
        <v>751</v>
      </c>
      <c r="C258" s="31">
        <v>4.0</v>
      </c>
      <c r="E258" s="15"/>
    </row>
    <row r="259">
      <c r="A259" s="86">
        <v>243.0</v>
      </c>
      <c r="B259" s="31" t="s">
        <v>752</v>
      </c>
      <c r="C259" s="31">
        <v>3.0</v>
      </c>
      <c r="E259" s="15"/>
    </row>
    <row r="260">
      <c r="A260" s="86">
        <v>244.0</v>
      </c>
      <c r="B260" s="31" t="s">
        <v>753</v>
      </c>
      <c r="C260" s="31">
        <v>3.0</v>
      </c>
      <c r="E260" s="15"/>
    </row>
    <row r="261">
      <c r="A261" s="86">
        <v>245.0</v>
      </c>
      <c r="B261" s="31" t="s">
        <v>754</v>
      </c>
      <c r="C261" s="31">
        <v>1.0</v>
      </c>
      <c r="E261" s="15"/>
    </row>
    <row r="262">
      <c r="A262" s="86">
        <v>246.0</v>
      </c>
      <c r="B262" s="31" t="s">
        <v>755</v>
      </c>
      <c r="C262" s="31">
        <v>2.0</v>
      </c>
      <c r="E262" s="15"/>
    </row>
    <row r="263">
      <c r="A263" s="86">
        <v>247.0</v>
      </c>
      <c r="B263" s="31" t="s">
        <v>756</v>
      </c>
      <c r="C263" s="31">
        <v>5.0</v>
      </c>
      <c r="E263" s="15"/>
    </row>
    <row r="264">
      <c r="A264" s="86">
        <v>248.0</v>
      </c>
      <c r="B264" s="31" t="s">
        <v>757</v>
      </c>
      <c r="C264" s="31">
        <v>3.0</v>
      </c>
      <c r="E264" s="15"/>
    </row>
    <row r="265">
      <c r="A265" s="86">
        <v>249.0</v>
      </c>
      <c r="B265" s="31" t="s">
        <v>758</v>
      </c>
      <c r="C265" s="31">
        <v>6.0</v>
      </c>
      <c r="E265" s="15"/>
    </row>
    <row r="266">
      <c r="A266" s="86">
        <v>250.0</v>
      </c>
      <c r="B266" s="31" t="s">
        <v>759</v>
      </c>
      <c r="C266" s="31">
        <v>5.0</v>
      </c>
      <c r="E266" s="15"/>
    </row>
    <row r="267">
      <c r="A267" s="86">
        <v>251.0</v>
      </c>
      <c r="B267" s="31" t="s">
        <v>761</v>
      </c>
      <c r="C267" s="31">
        <v>4.0</v>
      </c>
      <c r="E267" s="15"/>
    </row>
    <row r="268">
      <c r="A268" s="86">
        <v>252.0</v>
      </c>
      <c r="B268" s="31" t="s">
        <v>763</v>
      </c>
      <c r="C268" s="31">
        <v>3.0</v>
      </c>
      <c r="E268" s="15"/>
    </row>
    <row r="269">
      <c r="A269" s="86">
        <v>253.0</v>
      </c>
      <c r="B269" s="31" t="s">
        <v>764</v>
      </c>
      <c r="C269" s="31">
        <v>1.0</v>
      </c>
      <c r="E269" s="15"/>
    </row>
    <row r="270">
      <c r="A270" s="86">
        <v>254.0</v>
      </c>
      <c r="B270" s="45" t="s">
        <v>765</v>
      </c>
      <c r="C270" s="31">
        <v>50.0</v>
      </c>
      <c r="E270" s="15"/>
    </row>
    <row r="271">
      <c r="A271" s="86">
        <v>255.0</v>
      </c>
      <c r="B271" s="45" t="s">
        <v>766</v>
      </c>
      <c r="E271" s="15"/>
    </row>
    <row r="272">
      <c r="A272" s="86">
        <v>256.0</v>
      </c>
      <c r="B272" s="31" t="s">
        <v>767</v>
      </c>
      <c r="C272" s="31">
        <v>4.0</v>
      </c>
      <c r="E272" s="15"/>
    </row>
    <row r="273">
      <c r="A273" s="86">
        <v>257.0</v>
      </c>
      <c r="B273" s="31" t="s">
        <v>768</v>
      </c>
      <c r="C273" s="31">
        <v>7.0</v>
      </c>
      <c r="E273" s="15"/>
    </row>
    <row r="274">
      <c r="A274" s="86">
        <v>258.0</v>
      </c>
      <c r="B274" s="31" t="s">
        <v>769</v>
      </c>
      <c r="C274" s="31">
        <v>1.0</v>
      </c>
      <c r="E274" s="15"/>
    </row>
    <row r="275">
      <c r="A275" s="86">
        <v>259.0</v>
      </c>
      <c r="B275" s="45" t="s">
        <v>765</v>
      </c>
      <c r="C275" s="31">
        <v>50.0</v>
      </c>
      <c r="E275" s="15"/>
    </row>
    <row r="276">
      <c r="A276" s="86">
        <v>260.0</v>
      </c>
      <c r="E276" s="15"/>
    </row>
    <row r="277">
      <c r="A277" s="86">
        <v>261.0</v>
      </c>
      <c r="B277" s="31" t="s">
        <v>770</v>
      </c>
      <c r="C277" s="31">
        <v>50.0</v>
      </c>
      <c r="E277" s="15"/>
    </row>
    <row r="278">
      <c r="A278" s="86">
        <v>262.0</v>
      </c>
      <c r="E278" s="15"/>
    </row>
    <row r="279">
      <c r="A279" s="86">
        <v>263.0</v>
      </c>
      <c r="E279" s="15"/>
    </row>
    <row r="280">
      <c r="A280" s="86">
        <v>264.0</v>
      </c>
      <c r="E280" s="15"/>
    </row>
    <row r="281">
      <c r="A281" s="86">
        <v>265.0</v>
      </c>
      <c r="E281" s="15"/>
    </row>
    <row r="282">
      <c r="A282" s="86">
        <v>266.0</v>
      </c>
      <c r="E282" s="15"/>
    </row>
    <row r="283">
      <c r="A283" s="86">
        <v>267.0</v>
      </c>
    </row>
    <row r="284">
      <c r="A284" s="86">
        <v>268.0</v>
      </c>
    </row>
    <row r="285">
      <c r="A285" s="86">
        <v>269.0</v>
      </c>
    </row>
  </sheetData>
  <dataValidations>
    <dataValidation type="list" allowBlank="1" showErrorMessage="1" sqref="E3:E282">
      <formula1>"Sudah,Belum"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38.0"/>
    <col customWidth="1" min="4" max="4" width="22.29"/>
    <col customWidth="1" min="5" max="5" width="15.0"/>
  </cols>
  <sheetData>
    <row r="1">
      <c r="A1" s="31" t="s">
        <v>395</v>
      </c>
    </row>
    <row r="2">
      <c r="A2" s="85" t="s">
        <v>364</v>
      </c>
      <c r="B2" s="85" t="s">
        <v>365</v>
      </c>
      <c r="C2" s="85" t="s">
        <v>366</v>
      </c>
      <c r="D2" s="85" t="s">
        <v>367</v>
      </c>
      <c r="E2" s="85" t="s">
        <v>368</v>
      </c>
    </row>
    <row r="3">
      <c r="A3" s="86">
        <v>1.0</v>
      </c>
      <c r="B3" s="31" t="s">
        <v>400</v>
      </c>
      <c r="C3" s="31" t="s">
        <v>401</v>
      </c>
      <c r="D3" s="31" t="s">
        <v>403</v>
      </c>
      <c r="E3" s="31" t="s">
        <v>371</v>
      </c>
    </row>
    <row r="4">
      <c r="A4" s="86">
        <f t="shared" ref="A4:A212" si="1">A3+1</f>
        <v>2</v>
      </c>
      <c r="B4" s="31" t="s">
        <v>408</v>
      </c>
      <c r="C4" s="31">
        <v>1.0</v>
      </c>
      <c r="D4" s="31" t="s">
        <v>410</v>
      </c>
      <c r="E4" s="31" t="s">
        <v>371</v>
      </c>
    </row>
    <row r="5">
      <c r="A5" s="86">
        <f t="shared" si="1"/>
        <v>3</v>
      </c>
      <c r="B5" s="31" t="s">
        <v>413</v>
      </c>
      <c r="C5" s="31">
        <v>1.0</v>
      </c>
      <c r="D5" s="31" t="s">
        <v>410</v>
      </c>
      <c r="E5" s="31" t="s">
        <v>371</v>
      </c>
    </row>
    <row r="6">
      <c r="A6" s="86">
        <f t="shared" si="1"/>
        <v>4</v>
      </c>
      <c r="B6" s="31" t="s">
        <v>416</v>
      </c>
      <c r="C6" s="31">
        <v>1.0</v>
      </c>
      <c r="D6" s="31" t="s">
        <v>410</v>
      </c>
      <c r="E6" s="15"/>
    </row>
    <row r="7">
      <c r="A7" s="86">
        <f t="shared" si="1"/>
        <v>5</v>
      </c>
      <c r="B7" s="31" t="s">
        <v>419</v>
      </c>
      <c r="C7" s="31">
        <v>1.0</v>
      </c>
      <c r="D7" s="31" t="s">
        <v>410</v>
      </c>
      <c r="E7" s="15"/>
    </row>
    <row r="8">
      <c r="A8" s="86">
        <f t="shared" si="1"/>
        <v>6</v>
      </c>
      <c r="B8" s="31" t="s">
        <v>422</v>
      </c>
      <c r="C8" s="31">
        <v>1.0</v>
      </c>
      <c r="D8" s="31" t="s">
        <v>410</v>
      </c>
      <c r="E8" s="15"/>
    </row>
    <row r="9">
      <c r="A9" s="86">
        <f t="shared" si="1"/>
        <v>7</v>
      </c>
      <c r="B9" s="31" t="s">
        <v>424</v>
      </c>
      <c r="C9" s="31">
        <v>1.0</v>
      </c>
      <c r="D9" s="31" t="s">
        <v>425</v>
      </c>
      <c r="E9" s="15"/>
    </row>
    <row r="10">
      <c r="A10" s="86">
        <f t="shared" si="1"/>
        <v>8</v>
      </c>
      <c r="B10" s="31" t="s">
        <v>427</v>
      </c>
      <c r="C10" s="31">
        <v>1.0</v>
      </c>
      <c r="D10" s="31" t="s">
        <v>425</v>
      </c>
      <c r="E10" s="15"/>
    </row>
    <row r="11">
      <c r="A11" s="86">
        <f t="shared" si="1"/>
        <v>9</v>
      </c>
      <c r="B11" s="31" t="s">
        <v>430</v>
      </c>
      <c r="C11" s="31">
        <v>1.0</v>
      </c>
      <c r="D11" s="31" t="s">
        <v>425</v>
      </c>
      <c r="E11" s="15"/>
    </row>
    <row r="12">
      <c r="A12" s="86">
        <f t="shared" si="1"/>
        <v>10</v>
      </c>
      <c r="B12" s="31" t="s">
        <v>432</v>
      </c>
      <c r="C12" s="31">
        <v>1.0</v>
      </c>
      <c r="D12" s="31" t="s">
        <v>425</v>
      </c>
      <c r="E12" s="15"/>
    </row>
    <row r="13">
      <c r="A13" s="86">
        <f t="shared" si="1"/>
        <v>11</v>
      </c>
      <c r="B13" s="31" t="s">
        <v>437</v>
      </c>
      <c r="C13" s="31">
        <v>1.0</v>
      </c>
      <c r="D13" s="31" t="s">
        <v>425</v>
      </c>
      <c r="E13" s="15"/>
    </row>
    <row r="14">
      <c r="A14" s="86">
        <f t="shared" si="1"/>
        <v>12</v>
      </c>
      <c r="B14" s="31" t="s">
        <v>441</v>
      </c>
      <c r="C14" s="31">
        <v>1.0</v>
      </c>
      <c r="D14" s="31" t="s">
        <v>425</v>
      </c>
      <c r="E14" s="15"/>
    </row>
    <row r="15">
      <c r="A15" s="86">
        <f t="shared" si="1"/>
        <v>13</v>
      </c>
      <c r="B15" s="31" t="s">
        <v>446</v>
      </c>
      <c r="C15" s="31">
        <v>1.0</v>
      </c>
      <c r="D15" s="31" t="s">
        <v>425</v>
      </c>
      <c r="E15" s="15"/>
    </row>
    <row r="16">
      <c r="A16" s="86">
        <f t="shared" si="1"/>
        <v>14</v>
      </c>
      <c r="B16" s="31" t="s">
        <v>448</v>
      </c>
      <c r="C16" s="31">
        <v>1.0</v>
      </c>
      <c r="D16" s="31" t="s">
        <v>425</v>
      </c>
      <c r="E16" s="15"/>
    </row>
    <row r="17">
      <c r="A17" s="86">
        <f t="shared" si="1"/>
        <v>15</v>
      </c>
      <c r="B17" s="31" t="s">
        <v>449</v>
      </c>
      <c r="C17" s="31">
        <v>1.0</v>
      </c>
      <c r="D17" s="31" t="s">
        <v>425</v>
      </c>
      <c r="E17" s="15"/>
    </row>
    <row r="18">
      <c r="A18" s="86">
        <f t="shared" si="1"/>
        <v>16</v>
      </c>
      <c r="B18" s="31" t="s">
        <v>452</v>
      </c>
      <c r="C18" s="31">
        <v>1.0</v>
      </c>
      <c r="D18" s="31" t="s">
        <v>425</v>
      </c>
      <c r="E18" s="15"/>
    </row>
    <row r="19">
      <c r="A19" s="86">
        <f t="shared" si="1"/>
        <v>17</v>
      </c>
      <c r="B19" s="31" t="s">
        <v>456</v>
      </c>
      <c r="C19" s="31">
        <v>1.0</v>
      </c>
      <c r="D19" s="31" t="s">
        <v>425</v>
      </c>
      <c r="E19" s="15"/>
    </row>
    <row r="20">
      <c r="A20" s="86">
        <f t="shared" si="1"/>
        <v>18</v>
      </c>
      <c r="B20" s="31" t="s">
        <v>460</v>
      </c>
      <c r="C20" s="31">
        <v>2.0</v>
      </c>
      <c r="D20" s="31" t="s">
        <v>425</v>
      </c>
      <c r="E20" s="15"/>
    </row>
    <row r="21">
      <c r="A21" s="86">
        <f t="shared" si="1"/>
        <v>19</v>
      </c>
      <c r="B21" s="31" t="s">
        <v>463</v>
      </c>
      <c r="C21" s="31">
        <v>1.0</v>
      </c>
      <c r="D21" s="31" t="s">
        <v>425</v>
      </c>
      <c r="E21" s="15"/>
    </row>
    <row r="22">
      <c r="A22" s="86">
        <f t="shared" si="1"/>
        <v>20</v>
      </c>
      <c r="B22" s="31" t="s">
        <v>467</v>
      </c>
      <c r="C22" s="31">
        <v>1.0</v>
      </c>
      <c r="D22" s="31" t="s">
        <v>425</v>
      </c>
      <c r="E22" s="15"/>
    </row>
    <row r="23">
      <c r="A23" s="86">
        <f t="shared" si="1"/>
        <v>21</v>
      </c>
      <c r="B23" s="31" t="s">
        <v>471</v>
      </c>
      <c r="C23" s="31">
        <v>1.0</v>
      </c>
      <c r="D23" s="31" t="s">
        <v>425</v>
      </c>
      <c r="E23" s="15"/>
    </row>
    <row r="24">
      <c r="A24" s="86">
        <f t="shared" si="1"/>
        <v>22</v>
      </c>
      <c r="B24" s="31" t="s">
        <v>474</v>
      </c>
      <c r="C24" s="31">
        <v>1.0</v>
      </c>
      <c r="D24" s="31" t="s">
        <v>425</v>
      </c>
      <c r="E24" s="15"/>
    </row>
    <row r="25">
      <c r="A25" s="86">
        <f t="shared" si="1"/>
        <v>23</v>
      </c>
      <c r="B25" s="31" t="s">
        <v>477</v>
      </c>
      <c r="C25" s="31">
        <v>1.0</v>
      </c>
      <c r="D25" s="31" t="s">
        <v>425</v>
      </c>
      <c r="E25" s="15"/>
    </row>
    <row r="26">
      <c r="A26" s="86">
        <f t="shared" si="1"/>
        <v>24</v>
      </c>
      <c r="B26" s="31" t="s">
        <v>480</v>
      </c>
      <c r="C26" s="31">
        <v>1.0</v>
      </c>
      <c r="D26" s="31" t="s">
        <v>425</v>
      </c>
      <c r="E26" s="15"/>
    </row>
    <row r="27">
      <c r="A27" s="86">
        <f t="shared" si="1"/>
        <v>25</v>
      </c>
      <c r="B27" s="31" t="s">
        <v>484</v>
      </c>
      <c r="C27" s="31">
        <v>1.0</v>
      </c>
      <c r="D27" s="31" t="s">
        <v>425</v>
      </c>
      <c r="E27" s="15"/>
    </row>
    <row r="28">
      <c r="A28" s="86">
        <f t="shared" si="1"/>
        <v>26</v>
      </c>
      <c r="B28" s="31" t="s">
        <v>488</v>
      </c>
      <c r="C28" s="31">
        <v>1.0</v>
      </c>
      <c r="D28" s="31" t="s">
        <v>425</v>
      </c>
      <c r="E28" s="15"/>
    </row>
    <row r="29">
      <c r="A29" s="86">
        <f t="shared" si="1"/>
        <v>27</v>
      </c>
      <c r="B29" s="31" t="s">
        <v>491</v>
      </c>
      <c r="C29" s="31">
        <v>1.0</v>
      </c>
      <c r="D29" s="31" t="s">
        <v>425</v>
      </c>
      <c r="E29" s="15"/>
    </row>
    <row r="30">
      <c r="A30" s="86">
        <f t="shared" si="1"/>
        <v>28</v>
      </c>
      <c r="B30" s="31" t="s">
        <v>495</v>
      </c>
      <c r="C30" s="31">
        <v>1.0</v>
      </c>
      <c r="D30" s="31" t="s">
        <v>425</v>
      </c>
      <c r="E30" s="15"/>
    </row>
    <row r="31">
      <c r="A31" s="86">
        <f t="shared" si="1"/>
        <v>29</v>
      </c>
      <c r="B31" s="31" t="s">
        <v>497</v>
      </c>
      <c r="C31" s="31">
        <v>1.0</v>
      </c>
      <c r="D31" s="31" t="s">
        <v>425</v>
      </c>
      <c r="E31" s="15"/>
    </row>
    <row r="32">
      <c r="A32" s="86">
        <f t="shared" si="1"/>
        <v>30</v>
      </c>
      <c r="B32" s="31" t="s">
        <v>501</v>
      </c>
      <c r="C32" s="31">
        <v>1.0</v>
      </c>
      <c r="D32" s="31" t="s">
        <v>425</v>
      </c>
      <c r="E32" s="15"/>
    </row>
    <row r="33">
      <c r="A33" s="86">
        <f t="shared" si="1"/>
        <v>31</v>
      </c>
      <c r="B33" s="31" t="s">
        <v>505</v>
      </c>
      <c r="C33" s="31">
        <v>1.0</v>
      </c>
      <c r="D33" s="31" t="s">
        <v>425</v>
      </c>
      <c r="E33" s="15"/>
    </row>
    <row r="34">
      <c r="A34" s="86">
        <f t="shared" si="1"/>
        <v>32</v>
      </c>
      <c r="B34" s="31" t="s">
        <v>507</v>
      </c>
      <c r="C34" s="31">
        <v>1.0</v>
      </c>
      <c r="D34" s="31" t="s">
        <v>425</v>
      </c>
      <c r="E34" s="15"/>
    </row>
    <row r="35">
      <c r="A35" s="86">
        <f t="shared" si="1"/>
        <v>33</v>
      </c>
      <c r="B35" s="31" t="s">
        <v>495</v>
      </c>
      <c r="C35" s="31">
        <v>1.0</v>
      </c>
      <c r="D35" s="31" t="s">
        <v>425</v>
      </c>
      <c r="E35" s="15"/>
    </row>
    <row r="36">
      <c r="A36" s="86">
        <f t="shared" si="1"/>
        <v>34</v>
      </c>
      <c r="B36" s="31" t="s">
        <v>510</v>
      </c>
      <c r="C36" s="31">
        <v>1.0</v>
      </c>
      <c r="D36" s="31" t="s">
        <v>425</v>
      </c>
      <c r="E36" s="15"/>
    </row>
    <row r="37">
      <c r="A37" s="86">
        <f t="shared" si="1"/>
        <v>35</v>
      </c>
      <c r="B37" s="31" t="s">
        <v>514</v>
      </c>
      <c r="C37" s="31">
        <v>1.0</v>
      </c>
      <c r="D37" s="31" t="s">
        <v>425</v>
      </c>
      <c r="E37" s="15"/>
    </row>
    <row r="38">
      <c r="A38" s="86">
        <f t="shared" si="1"/>
        <v>36</v>
      </c>
      <c r="B38" s="31" t="s">
        <v>516</v>
      </c>
      <c r="C38" s="31">
        <v>1.0</v>
      </c>
      <c r="D38" s="31" t="s">
        <v>425</v>
      </c>
      <c r="E38" s="15"/>
    </row>
    <row r="39">
      <c r="A39" s="86">
        <f t="shared" si="1"/>
        <v>37</v>
      </c>
      <c r="B39" s="31" t="s">
        <v>518</v>
      </c>
      <c r="C39" s="31">
        <v>1.0</v>
      </c>
      <c r="D39" s="31" t="s">
        <v>425</v>
      </c>
      <c r="E39" s="15"/>
    </row>
    <row r="40">
      <c r="A40" s="86">
        <f t="shared" si="1"/>
        <v>38</v>
      </c>
      <c r="B40" s="31" t="s">
        <v>521</v>
      </c>
      <c r="C40" s="31">
        <v>1.0</v>
      </c>
      <c r="D40" s="31" t="s">
        <v>425</v>
      </c>
      <c r="E40" s="15"/>
    </row>
    <row r="41">
      <c r="A41" s="86">
        <f t="shared" si="1"/>
        <v>39</v>
      </c>
      <c r="B41" s="31" t="s">
        <v>524</v>
      </c>
      <c r="C41" s="31">
        <v>2.0</v>
      </c>
      <c r="D41" s="31" t="s">
        <v>425</v>
      </c>
      <c r="E41" s="15"/>
    </row>
    <row r="42">
      <c r="A42" s="86">
        <f t="shared" si="1"/>
        <v>40</v>
      </c>
      <c r="B42" s="31" t="s">
        <v>527</v>
      </c>
      <c r="C42" s="31">
        <v>1.0</v>
      </c>
      <c r="D42" s="31" t="s">
        <v>528</v>
      </c>
      <c r="E42" s="15"/>
    </row>
    <row r="43">
      <c r="A43" s="86">
        <f t="shared" si="1"/>
        <v>41</v>
      </c>
      <c r="B43" s="31" t="s">
        <v>531</v>
      </c>
      <c r="C43" s="31">
        <v>1.0</v>
      </c>
      <c r="D43" s="31" t="s">
        <v>528</v>
      </c>
      <c r="E43" s="15"/>
    </row>
    <row r="44">
      <c r="A44" s="86">
        <f t="shared" si="1"/>
        <v>42</v>
      </c>
      <c r="B44" s="31" t="s">
        <v>534</v>
      </c>
      <c r="C44" s="31">
        <v>1.0</v>
      </c>
      <c r="D44" s="31" t="s">
        <v>528</v>
      </c>
      <c r="E44" s="15"/>
    </row>
    <row r="45">
      <c r="A45" s="86">
        <f t="shared" si="1"/>
        <v>43</v>
      </c>
      <c r="B45" s="31" t="s">
        <v>537</v>
      </c>
      <c r="C45" s="31">
        <v>1.0</v>
      </c>
      <c r="D45" s="31" t="s">
        <v>528</v>
      </c>
      <c r="E45" s="15"/>
    </row>
    <row r="46">
      <c r="A46" s="86">
        <f t="shared" si="1"/>
        <v>44</v>
      </c>
      <c r="B46" s="31" t="s">
        <v>416</v>
      </c>
      <c r="C46" s="31">
        <v>1.0</v>
      </c>
      <c r="D46" s="31" t="s">
        <v>528</v>
      </c>
      <c r="E46" s="15"/>
    </row>
    <row r="47">
      <c r="A47" s="86">
        <f t="shared" si="1"/>
        <v>45</v>
      </c>
      <c r="B47" s="31" t="s">
        <v>539</v>
      </c>
      <c r="C47" s="31">
        <v>1.0</v>
      </c>
      <c r="D47" s="31" t="s">
        <v>528</v>
      </c>
      <c r="E47" s="15"/>
    </row>
    <row r="48">
      <c r="A48" s="86">
        <f t="shared" si="1"/>
        <v>46</v>
      </c>
      <c r="B48" s="31" t="s">
        <v>542</v>
      </c>
      <c r="C48" s="31">
        <v>1.0</v>
      </c>
      <c r="D48" s="31" t="s">
        <v>543</v>
      </c>
      <c r="E48" s="15"/>
    </row>
    <row r="49">
      <c r="A49" s="86">
        <f t="shared" si="1"/>
        <v>47</v>
      </c>
      <c r="B49" s="31" t="s">
        <v>546</v>
      </c>
      <c r="C49" s="31">
        <v>1.0</v>
      </c>
      <c r="D49" s="31" t="s">
        <v>543</v>
      </c>
      <c r="E49" s="15"/>
    </row>
    <row r="50">
      <c r="A50" s="86">
        <f t="shared" si="1"/>
        <v>48</v>
      </c>
      <c r="B50" s="31" t="s">
        <v>549</v>
      </c>
      <c r="C50" s="31">
        <v>1.0</v>
      </c>
      <c r="D50" s="31" t="s">
        <v>543</v>
      </c>
      <c r="E50" s="15"/>
    </row>
    <row r="51">
      <c r="A51" s="86">
        <f t="shared" si="1"/>
        <v>49</v>
      </c>
      <c r="B51" s="31" t="s">
        <v>552</v>
      </c>
      <c r="C51" s="31">
        <v>1.0</v>
      </c>
      <c r="D51" s="31" t="s">
        <v>543</v>
      </c>
      <c r="E51" s="15"/>
    </row>
    <row r="52">
      <c r="A52" s="86">
        <f t="shared" si="1"/>
        <v>50</v>
      </c>
      <c r="B52" s="31" t="s">
        <v>556</v>
      </c>
      <c r="C52" s="31">
        <v>1.0</v>
      </c>
      <c r="D52" s="31" t="s">
        <v>543</v>
      </c>
      <c r="E52" s="15"/>
    </row>
    <row r="53">
      <c r="A53" s="86">
        <f t="shared" si="1"/>
        <v>51</v>
      </c>
      <c r="B53" s="31" t="s">
        <v>559</v>
      </c>
      <c r="C53" s="31">
        <v>1.0</v>
      </c>
      <c r="D53" s="31" t="s">
        <v>543</v>
      </c>
      <c r="E53" s="15"/>
    </row>
    <row r="54">
      <c r="A54" s="86">
        <f t="shared" si="1"/>
        <v>52</v>
      </c>
      <c r="B54" s="31" t="s">
        <v>562</v>
      </c>
      <c r="C54" s="31">
        <v>2.0</v>
      </c>
      <c r="D54" s="31" t="s">
        <v>543</v>
      </c>
      <c r="E54" s="15"/>
    </row>
    <row r="55">
      <c r="A55" s="86">
        <f t="shared" si="1"/>
        <v>53</v>
      </c>
      <c r="B55" s="31" t="s">
        <v>563</v>
      </c>
      <c r="C55" s="31">
        <v>1.0</v>
      </c>
      <c r="D55" s="31" t="s">
        <v>543</v>
      </c>
      <c r="E55" s="15"/>
    </row>
    <row r="56">
      <c r="A56" s="86">
        <f t="shared" si="1"/>
        <v>54</v>
      </c>
      <c r="B56" s="31" t="s">
        <v>564</v>
      </c>
      <c r="C56" s="31">
        <v>1.0</v>
      </c>
      <c r="D56" s="31" t="s">
        <v>543</v>
      </c>
      <c r="E56" s="15"/>
    </row>
    <row r="57">
      <c r="A57" s="86">
        <f t="shared" si="1"/>
        <v>55</v>
      </c>
      <c r="B57" s="31" t="s">
        <v>565</v>
      </c>
      <c r="C57" s="31">
        <v>3.0</v>
      </c>
      <c r="D57" s="31" t="s">
        <v>543</v>
      </c>
      <c r="E57" s="15"/>
    </row>
    <row r="58">
      <c r="A58" s="86">
        <f t="shared" si="1"/>
        <v>56</v>
      </c>
      <c r="B58" s="31" t="s">
        <v>567</v>
      </c>
      <c r="C58" s="31">
        <v>1.0</v>
      </c>
      <c r="D58" s="31" t="s">
        <v>543</v>
      </c>
      <c r="E58" s="15"/>
    </row>
    <row r="59">
      <c r="A59" s="86">
        <f t="shared" si="1"/>
        <v>57</v>
      </c>
      <c r="B59" s="31" t="s">
        <v>570</v>
      </c>
      <c r="C59" s="31">
        <v>1.0</v>
      </c>
      <c r="D59" s="31" t="s">
        <v>543</v>
      </c>
      <c r="E59" s="15"/>
    </row>
    <row r="60">
      <c r="A60" s="86">
        <f t="shared" si="1"/>
        <v>58</v>
      </c>
      <c r="B60" s="31" t="s">
        <v>574</v>
      </c>
      <c r="C60" s="31">
        <v>1.0</v>
      </c>
      <c r="D60" s="31" t="s">
        <v>543</v>
      </c>
      <c r="E60" s="15"/>
    </row>
    <row r="61">
      <c r="A61" s="86">
        <f t="shared" si="1"/>
        <v>59</v>
      </c>
      <c r="B61" s="31" t="s">
        <v>578</v>
      </c>
      <c r="C61" s="31">
        <v>1.0</v>
      </c>
      <c r="D61" s="31" t="s">
        <v>543</v>
      </c>
      <c r="E61" s="15"/>
    </row>
    <row r="62">
      <c r="A62" s="86">
        <f t="shared" si="1"/>
        <v>60</v>
      </c>
      <c r="B62" s="31" t="s">
        <v>580</v>
      </c>
      <c r="C62" s="31">
        <v>1.0</v>
      </c>
      <c r="D62" s="31" t="s">
        <v>543</v>
      </c>
      <c r="E62" s="15"/>
    </row>
    <row r="63">
      <c r="A63" s="86">
        <f t="shared" si="1"/>
        <v>61</v>
      </c>
      <c r="B63" s="31" t="s">
        <v>585</v>
      </c>
      <c r="C63" s="31">
        <v>2.0</v>
      </c>
      <c r="D63" s="31" t="s">
        <v>543</v>
      </c>
      <c r="E63" s="15"/>
    </row>
    <row r="64">
      <c r="A64" s="86">
        <f t="shared" si="1"/>
        <v>62</v>
      </c>
      <c r="B64" s="31" t="s">
        <v>589</v>
      </c>
      <c r="C64" s="31">
        <v>1.0</v>
      </c>
      <c r="D64" s="31" t="s">
        <v>543</v>
      </c>
      <c r="E64" s="15"/>
    </row>
    <row r="65">
      <c r="A65" s="86">
        <f t="shared" si="1"/>
        <v>63</v>
      </c>
      <c r="B65" s="31" t="s">
        <v>593</v>
      </c>
      <c r="C65" s="31">
        <v>1.0</v>
      </c>
      <c r="D65" s="31" t="s">
        <v>543</v>
      </c>
      <c r="E65" s="15"/>
    </row>
    <row r="66">
      <c r="A66" s="86">
        <f t="shared" si="1"/>
        <v>64</v>
      </c>
      <c r="B66" s="31" t="s">
        <v>597</v>
      </c>
      <c r="C66" s="31">
        <v>2.0</v>
      </c>
      <c r="D66" s="31" t="s">
        <v>543</v>
      </c>
      <c r="E66" s="15"/>
    </row>
    <row r="67">
      <c r="A67" s="86">
        <f t="shared" si="1"/>
        <v>65</v>
      </c>
      <c r="B67" s="31" t="s">
        <v>602</v>
      </c>
      <c r="C67" s="31">
        <v>2.0</v>
      </c>
      <c r="D67" s="31" t="s">
        <v>543</v>
      </c>
      <c r="E67" s="15"/>
    </row>
    <row r="68">
      <c r="A68" s="86">
        <f t="shared" si="1"/>
        <v>66</v>
      </c>
      <c r="B68" s="31" t="s">
        <v>606</v>
      </c>
      <c r="C68" s="31">
        <v>2.0</v>
      </c>
      <c r="D68" s="31" t="s">
        <v>543</v>
      </c>
      <c r="E68" s="15"/>
    </row>
    <row r="69">
      <c r="A69" s="86">
        <f t="shared" si="1"/>
        <v>67</v>
      </c>
      <c r="B69" s="31" t="s">
        <v>609</v>
      </c>
      <c r="C69" s="31">
        <v>1.0</v>
      </c>
      <c r="D69" s="31" t="s">
        <v>543</v>
      </c>
      <c r="E69" s="15"/>
    </row>
    <row r="70">
      <c r="A70" s="86">
        <f t="shared" si="1"/>
        <v>68</v>
      </c>
      <c r="B70" s="31" t="s">
        <v>612</v>
      </c>
      <c r="C70" s="31">
        <v>3.0</v>
      </c>
      <c r="D70" s="31" t="s">
        <v>543</v>
      </c>
      <c r="E70" s="15"/>
    </row>
    <row r="71">
      <c r="A71" s="86">
        <f t="shared" si="1"/>
        <v>69</v>
      </c>
      <c r="B71" s="31" t="s">
        <v>617</v>
      </c>
      <c r="C71" s="31">
        <v>2.0</v>
      </c>
      <c r="D71" s="31" t="s">
        <v>618</v>
      </c>
      <c r="E71" s="15"/>
    </row>
    <row r="72">
      <c r="A72" s="86">
        <f t="shared" si="1"/>
        <v>70</v>
      </c>
      <c r="B72" s="31" t="s">
        <v>620</v>
      </c>
      <c r="C72" s="31">
        <v>1.0</v>
      </c>
      <c r="D72" s="31" t="s">
        <v>618</v>
      </c>
      <c r="E72" s="15"/>
    </row>
    <row r="73">
      <c r="A73" s="86">
        <f t="shared" si="1"/>
        <v>71</v>
      </c>
      <c r="B73" s="31" t="s">
        <v>623</v>
      </c>
      <c r="C73" s="31">
        <v>1.0</v>
      </c>
      <c r="D73" s="31" t="s">
        <v>618</v>
      </c>
      <c r="E73" s="15"/>
    </row>
    <row r="74">
      <c r="A74" s="86">
        <f t="shared" si="1"/>
        <v>72</v>
      </c>
      <c r="B74" s="31" t="s">
        <v>626</v>
      </c>
      <c r="C74" s="31">
        <v>1.0</v>
      </c>
      <c r="D74" s="31" t="s">
        <v>618</v>
      </c>
      <c r="E74" s="15"/>
    </row>
    <row r="75">
      <c r="A75" s="86">
        <f t="shared" si="1"/>
        <v>73</v>
      </c>
      <c r="B75" s="31" t="s">
        <v>629</v>
      </c>
      <c r="C75" s="31">
        <v>1.0</v>
      </c>
      <c r="D75" s="31" t="s">
        <v>618</v>
      </c>
      <c r="E75" s="15"/>
    </row>
    <row r="76">
      <c r="A76" s="86">
        <f t="shared" si="1"/>
        <v>74</v>
      </c>
      <c r="B76" s="31" t="s">
        <v>632</v>
      </c>
      <c r="C76" s="31">
        <v>1.0</v>
      </c>
      <c r="D76" s="31" t="s">
        <v>618</v>
      </c>
      <c r="E76" s="15"/>
    </row>
    <row r="77">
      <c r="A77" s="86">
        <f t="shared" si="1"/>
        <v>75</v>
      </c>
      <c r="B77" s="31" t="s">
        <v>636</v>
      </c>
      <c r="C77" s="31">
        <v>1.0</v>
      </c>
      <c r="D77" s="31" t="s">
        <v>638</v>
      </c>
      <c r="E77" s="15"/>
    </row>
    <row r="78">
      <c r="A78" s="86">
        <f t="shared" si="1"/>
        <v>76</v>
      </c>
      <c r="B78" s="31" t="s">
        <v>641</v>
      </c>
      <c r="C78" s="31">
        <v>1.0</v>
      </c>
      <c r="D78" s="31" t="s">
        <v>643</v>
      </c>
      <c r="E78" s="15"/>
    </row>
    <row r="79">
      <c r="A79" s="86">
        <f t="shared" si="1"/>
        <v>77</v>
      </c>
      <c r="B79" s="31" t="s">
        <v>645</v>
      </c>
      <c r="C79" s="31">
        <v>1.0</v>
      </c>
      <c r="D79" s="31" t="s">
        <v>643</v>
      </c>
      <c r="E79" s="15"/>
    </row>
    <row r="80">
      <c r="A80" s="86">
        <f t="shared" si="1"/>
        <v>78</v>
      </c>
      <c r="B80" s="31" t="s">
        <v>648</v>
      </c>
      <c r="C80" s="31">
        <v>2.0</v>
      </c>
      <c r="D80" s="31" t="s">
        <v>643</v>
      </c>
      <c r="E80" s="15"/>
    </row>
    <row r="81">
      <c r="A81" s="86">
        <f t="shared" si="1"/>
        <v>79</v>
      </c>
      <c r="B81" s="31" t="s">
        <v>651</v>
      </c>
      <c r="C81" s="31">
        <v>1.0</v>
      </c>
      <c r="D81" s="31" t="s">
        <v>643</v>
      </c>
      <c r="E81" s="15"/>
    </row>
    <row r="82">
      <c r="A82" s="86">
        <f t="shared" si="1"/>
        <v>80</v>
      </c>
      <c r="B82" s="31" t="s">
        <v>654</v>
      </c>
      <c r="C82" s="31">
        <v>1.0</v>
      </c>
      <c r="D82" s="31" t="s">
        <v>643</v>
      </c>
      <c r="E82" s="15"/>
    </row>
    <row r="83">
      <c r="A83" s="86">
        <f t="shared" si="1"/>
        <v>81</v>
      </c>
      <c r="B83" s="31" t="s">
        <v>656</v>
      </c>
      <c r="C83" s="31">
        <v>1.0</v>
      </c>
      <c r="D83" s="31" t="s">
        <v>643</v>
      </c>
      <c r="E83" s="15"/>
    </row>
    <row r="84">
      <c r="A84" s="86">
        <f t="shared" si="1"/>
        <v>82</v>
      </c>
      <c r="B84" s="31" t="s">
        <v>659</v>
      </c>
      <c r="C84" s="31">
        <v>1.0</v>
      </c>
      <c r="D84" s="31" t="s">
        <v>643</v>
      </c>
      <c r="E84" s="15"/>
    </row>
    <row r="85">
      <c r="A85" s="86">
        <f t="shared" si="1"/>
        <v>83</v>
      </c>
      <c r="B85" s="31" t="s">
        <v>662</v>
      </c>
      <c r="C85" s="31">
        <v>1.0</v>
      </c>
      <c r="D85" s="31" t="s">
        <v>643</v>
      </c>
      <c r="E85" s="15"/>
    </row>
    <row r="86">
      <c r="A86" s="86">
        <f t="shared" si="1"/>
        <v>84</v>
      </c>
      <c r="B86" s="31" t="s">
        <v>665</v>
      </c>
      <c r="C86" s="31">
        <v>1.0</v>
      </c>
      <c r="D86" s="31" t="s">
        <v>643</v>
      </c>
      <c r="E86" s="15"/>
    </row>
    <row r="87">
      <c r="A87" s="86">
        <f t="shared" si="1"/>
        <v>85</v>
      </c>
      <c r="B87" s="31" t="s">
        <v>427</v>
      </c>
      <c r="C87" s="31">
        <v>2.0</v>
      </c>
      <c r="D87" s="31" t="s">
        <v>668</v>
      </c>
      <c r="E87" s="15"/>
    </row>
    <row r="88">
      <c r="A88" s="86">
        <f t="shared" si="1"/>
        <v>86</v>
      </c>
      <c r="B88" s="31" t="s">
        <v>670</v>
      </c>
      <c r="C88" s="31"/>
      <c r="D88" s="31" t="s">
        <v>673</v>
      </c>
      <c r="E88" s="15"/>
    </row>
    <row r="89">
      <c r="A89" s="86">
        <f t="shared" si="1"/>
        <v>87</v>
      </c>
      <c r="B89" s="31" t="s">
        <v>675</v>
      </c>
      <c r="C89" s="31"/>
      <c r="D89" s="31" t="s">
        <v>673</v>
      </c>
      <c r="E89" s="15"/>
    </row>
    <row r="90">
      <c r="A90" s="86">
        <f t="shared" si="1"/>
        <v>88</v>
      </c>
      <c r="B90" s="31"/>
      <c r="C90" s="31"/>
      <c r="D90" s="31" t="s">
        <v>673</v>
      </c>
      <c r="E90" s="15"/>
    </row>
    <row r="91">
      <c r="A91" s="86">
        <f t="shared" si="1"/>
        <v>89</v>
      </c>
      <c r="B91" s="31"/>
      <c r="C91" s="31"/>
      <c r="D91" s="31" t="s">
        <v>673</v>
      </c>
      <c r="E91" s="15"/>
    </row>
    <row r="92">
      <c r="A92" s="86">
        <f t="shared" si="1"/>
        <v>90</v>
      </c>
      <c r="B92" s="31"/>
      <c r="C92" s="31"/>
      <c r="D92" s="31" t="s">
        <v>673</v>
      </c>
      <c r="E92" s="15"/>
    </row>
    <row r="93">
      <c r="A93" s="86">
        <f t="shared" si="1"/>
        <v>91</v>
      </c>
      <c r="B93" s="31"/>
      <c r="C93" s="31"/>
      <c r="D93" s="31" t="s">
        <v>673</v>
      </c>
      <c r="E93" s="15"/>
    </row>
    <row r="94">
      <c r="A94" s="86">
        <f t="shared" si="1"/>
        <v>92</v>
      </c>
      <c r="B94" s="31"/>
      <c r="C94" s="31"/>
      <c r="D94" s="31" t="s">
        <v>673</v>
      </c>
      <c r="E94" s="15"/>
    </row>
    <row r="95">
      <c r="A95" s="86">
        <f t="shared" si="1"/>
        <v>93</v>
      </c>
      <c r="B95" s="31"/>
      <c r="C95" s="31"/>
      <c r="D95" s="31" t="s">
        <v>673</v>
      </c>
      <c r="E95" s="15"/>
    </row>
    <row r="96">
      <c r="A96" s="86">
        <f t="shared" si="1"/>
        <v>94</v>
      </c>
      <c r="B96" s="31"/>
      <c r="C96" s="31"/>
      <c r="D96" s="31" t="s">
        <v>673</v>
      </c>
      <c r="E96" s="15"/>
    </row>
    <row r="97">
      <c r="A97" s="86">
        <f t="shared" si="1"/>
        <v>95</v>
      </c>
      <c r="B97" s="31"/>
      <c r="C97" s="31"/>
      <c r="D97" s="31" t="s">
        <v>673</v>
      </c>
      <c r="E97" s="15"/>
    </row>
    <row r="98">
      <c r="A98" s="86">
        <f t="shared" si="1"/>
        <v>96</v>
      </c>
      <c r="B98" s="31"/>
      <c r="C98" s="31"/>
      <c r="E98" s="15"/>
    </row>
    <row r="99">
      <c r="A99" s="86">
        <f t="shared" si="1"/>
        <v>97</v>
      </c>
      <c r="B99" s="31"/>
      <c r="C99" s="31"/>
      <c r="E99" s="15"/>
    </row>
    <row r="100">
      <c r="A100" s="86">
        <f t="shared" si="1"/>
        <v>98</v>
      </c>
      <c r="B100" s="31"/>
      <c r="C100" s="31"/>
      <c r="E100" s="15"/>
    </row>
    <row r="101">
      <c r="A101" s="86">
        <f t="shared" si="1"/>
        <v>99</v>
      </c>
      <c r="B101" s="31"/>
      <c r="C101" s="31"/>
      <c r="E101" s="15"/>
    </row>
    <row r="102">
      <c r="A102" s="86">
        <f t="shared" si="1"/>
        <v>100</v>
      </c>
      <c r="B102" s="31"/>
      <c r="C102" s="31"/>
      <c r="E102" s="15"/>
    </row>
    <row r="103">
      <c r="A103" s="86">
        <f t="shared" si="1"/>
        <v>101</v>
      </c>
      <c r="B103" s="31"/>
      <c r="C103" s="31"/>
      <c r="E103" s="15"/>
    </row>
    <row r="104">
      <c r="A104" s="86">
        <f t="shared" si="1"/>
        <v>102</v>
      </c>
      <c r="B104" s="31"/>
      <c r="C104" s="31"/>
      <c r="E104" s="15"/>
    </row>
    <row r="105">
      <c r="A105" s="86">
        <f t="shared" si="1"/>
        <v>103</v>
      </c>
      <c r="B105" s="31"/>
      <c r="C105" s="31"/>
      <c r="E105" s="15"/>
    </row>
    <row r="106">
      <c r="A106" s="86">
        <f t="shared" si="1"/>
        <v>104</v>
      </c>
      <c r="B106" s="31"/>
      <c r="C106" s="31"/>
      <c r="E106" s="15"/>
    </row>
    <row r="107">
      <c r="A107" s="86">
        <f t="shared" si="1"/>
        <v>105</v>
      </c>
      <c r="B107" s="31"/>
      <c r="C107" s="31"/>
      <c r="E107" s="15"/>
    </row>
    <row r="108">
      <c r="A108" s="86">
        <f t="shared" si="1"/>
        <v>106</v>
      </c>
      <c r="B108" s="31"/>
      <c r="C108" s="31"/>
      <c r="E108" s="15"/>
    </row>
    <row r="109">
      <c r="A109" s="86">
        <f t="shared" si="1"/>
        <v>107</v>
      </c>
      <c r="B109" s="31"/>
      <c r="C109" s="31"/>
      <c r="E109" s="15"/>
    </row>
    <row r="110">
      <c r="A110" s="86">
        <f t="shared" si="1"/>
        <v>108</v>
      </c>
      <c r="B110" s="31"/>
      <c r="C110" s="31"/>
      <c r="E110" s="15"/>
    </row>
    <row r="111">
      <c r="A111" s="86">
        <f t="shared" si="1"/>
        <v>109</v>
      </c>
      <c r="B111" s="31"/>
      <c r="C111" s="31"/>
      <c r="E111" s="15"/>
    </row>
    <row r="112">
      <c r="A112" s="86">
        <f t="shared" si="1"/>
        <v>110</v>
      </c>
      <c r="B112" s="31"/>
      <c r="C112" s="31"/>
      <c r="E112" s="15"/>
    </row>
    <row r="113">
      <c r="A113" s="86">
        <f t="shared" si="1"/>
        <v>111</v>
      </c>
      <c r="B113" s="31"/>
      <c r="C113" s="31"/>
      <c r="E113" s="15"/>
    </row>
    <row r="114">
      <c r="A114" s="86">
        <f t="shared" si="1"/>
        <v>112</v>
      </c>
      <c r="B114" s="31"/>
      <c r="C114" s="31"/>
      <c r="E114" s="15"/>
    </row>
    <row r="115">
      <c r="A115" s="86">
        <f t="shared" si="1"/>
        <v>113</v>
      </c>
      <c r="B115" s="31"/>
      <c r="C115" s="31"/>
      <c r="E115" s="15"/>
    </row>
    <row r="116">
      <c r="A116" s="86">
        <f t="shared" si="1"/>
        <v>114</v>
      </c>
      <c r="B116" s="31"/>
      <c r="C116" s="31"/>
      <c r="E116" s="15"/>
    </row>
    <row r="117">
      <c r="A117" s="86">
        <f t="shared" si="1"/>
        <v>115</v>
      </c>
      <c r="B117" s="31"/>
      <c r="C117" s="31"/>
      <c r="E117" s="15"/>
    </row>
    <row r="118">
      <c r="A118" s="86">
        <f t="shared" si="1"/>
        <v>116</v>
      </c>
      <c r="B118" s="31"/>
      <c r="C118" s="31"/>
      <c r="E118" s="15"/>
    </row>
    <row r="119">
      <c r="A119" s="86">
        <f t="shared" si="1"/>
        <v>117</v>
      </c>
      <c r="B119" s="31"/>
      <c r="C119" s="31"/>
      <c r="E119" s="15"/>
    </row>
    <row r="120">
      <c r="A120" s="86">
        <f t="shared" si="1"/>
        <v>118</v>
      </c>
      <c r="B120" s="31"/>
      <c r="C120" s="31"/>
      <c r="E120" s="15"/>
    </row>
    <row r="121">
      <c r="A121" s="86">
        <f t="shared" si="1"/>
        <v>119</v>
      </c>
      <c r="B121" s="31"/>
      <c r="C121" s="31"/>
      <c r="E121" s="15"/>
    </row>
    <row r="122">
      <c r="A122" s="86">
        <f t="shared" si="1"/>
        <v>120</v>
      </c>
      <c r="B122" s="31"/>
      <c r="C122" s="31"/>
      <c r="E122" s="15"/>
    </row>
    <row r="123">
      <c r="A123" s="86">
        <f t="shared" si="1"/>
        <v>121</v>
      </c>
      <c r="B123" s="31"/>
      <c r="C123" s="31"/>
      <c r="E123" s="15"/>
    </row>
    <row r="124">
      <c r="A124" s="86">
        <f t="shared" si="1"/>
        <v>122</v>
      </c>
      <c r="B124" s="31"/>
      <c r="C124" s="31"/>
      <c r="E124" s="15"/>
    </row>
    <row r="125">
      <c r="A125" s="86">
        <f t="shared" si="1"/>
        <v>123</v>
      </c>
      <c r="B125" s="31"/>
      <c r="C125" s="31"/>
      <c r="E125" s="15"/>
    </row>
    <row r="126">
      <c r="A126" s="86">
        <f t="shared" si="1"/>
        <v>124</v>
      </c>
      <c r="B126" s="31"/>
      <c r="C126" s="31"/>
      <c r="E126" s="15"/>
    </row>
    <row r="127">
      <c r="A127" s="86">
        <f t="shared" si="1"/>
        <v>125</v>
      </c>
      <c r="B127" s="31"/>
      <c r="C127" s="31"/>
      <c r="E127" s="15"/>
    </row>
    <row r="128">
      <c r="A128" s="86">
        <f t="shared" si="1"/>
        <v>126</v>
      </c>
      <c r="B128" s="31"/>
      <c r="C128" s="31"/>
      <c r="E128" s="15"/>
    </row>
    <row r="129">
      <c r="A129" s="86">
        <f t="shared" si="1"/>
        <v>127</v>
      </c>
      <c r="B129" s="31"/>
      <c r="C129" s="31"/>
      <c r="E129" s="15"/>
    </row>
    <row r="130">
      <c r="A130" s="86">
        <f t="shared" si="1"/>
        <v>128</v>
      </c>
      <c r="B130" s="31"/>
      <c r="C130" s="31"/>
      <c r="E130" s="15"/>
    </row>
    <row r="131">
      <c r="A131" s="86">
        <f t="shared" si="1"/>
        <v>129</v>
      </c>
      <c r="B131" s="31"/>
      <c r="C131" s="31"/>
      <c r="E131" s="15"/>
    </row>
    <row r="132">
      <c r="A132" s="86">
        <f t="shared" si="1"/>
        <v>130</v>
      </c>
      <c r="B132" s="31"/>
      <c r="C132" s="31"/>
      <c r="E132" s="15"/>
    </row>
    <row r="133">
      <c r="A133" s="86">
        <f t="shared" si="1"/>
        <v>131</v>
      </c>
      <c r="B133" s="31"/>
      <c r="C133" s="31"/>
      <c r="E133" s="15"/>
    </row>
    <row r="134">
      <c r="A134" s="86">
        <f t="shared" si="1"/>
        <v>132</v>
      </c>
      <c r="B134" s="31"/>
      <c r="C134" s="31"/>
      <c r="E134" s="15"/>
    </row>
    <row r="135">
      <c r="A135" s="86">
        <f t="shared" si="1"/>
        <v>133</v>
      </c>
      <c r="B135" s="31"/>
      <c r="C135" s="31"/>
      <c r="E135" s="15"/>
    </row>
    <row r="136">
      <c r="A136" s="86">
        <f t="shared" si="1"/>
        <v>134</v>
      </c>
      <c r="B136" s="31"/>
      <c r="C136" s="31"/>
      <c r="E136" s="15"/>
    </row>
    <row r="137">
      <c r="A137" s="86">
        <f t="shared" si="1"/>
        <v>135</v>
      </c>
      <c r="B137" s="31"/>
      <c r="C137" s="31"/>
      <c r="E137" s="15"/>
    </row>
    <row r="138">
      <c r="A138" s="86">
        <f t="shared" si="1"/>
        <v>136</v>
      </c>
      <c r="B138" s="31"/>
      <c r="C138" s="31"/>
      <c r="E138" s="15"/>
    </row>
    <row r="139">
      <c r="A139" s="86">
        <f t="shared" si="1"/>
        <v>137</v>
      </c>
      <c r="B139" s="31"/>
      <c r="C139" s="31"/>
      <c r="E139" s="15"/>
    </row>
    <row r="140">
      <c r="A140" s="86">
        <f t="shared" si="1"/>
        <v>138</v>
      </c>
      <c r="B140" s="31"/>
      <c r="C140" s="31"/>
      <c r="E140" s="15"/>
    </row>
    <row r="141">
      <c r="A141" s="86">
        <f t="shared" si="1"/>
        <v>139</v>
      </c>
      <c r="B141" s="31"/>
      <c r="C141" s="31"/>
      <c r="E141" s="15"/>
    </row>
    <row r="142">
      <c r="A142" s="86">
        <f t="shared" si="1"/>
        <v>140</v>
      </c>
      <c r="B142" s="31"/>
      <c r="C142" s="31"/>
      <c r="E142" s="15"/>
    </row>
    <row r="143">
      <c r="A143" s="86">
        <f t="shared" si="1"/>
        <v>141</v>
      </c>
      <c r="B143" s="31"/>
      <c r="C143" s="31"/>
      <c r="E143" s="15"/>
    </row>
    <row r="144">
      <c r="A144" s="86">
        <f t="shared" si="1"/>
        <v>142</v>
      </c>
      <c r="B144" s="31"/>
      <c r="C144" s="31"/>
      <c r="E144" s="15"/>
    </row>
    <row r="145">
      <c r="A145" s="86">
        <f t="shared" si="1"/>
        <v>143</v>
      </c>
      <c r="B145" s="31"/>
      <c r="C145" s="31"/>
      <c r="E145" s="15"/>
    </row>
    <row r="146">
      <c r="A146" s="86">
        <f t="shared" si="1"/>
        <v>144</v>
      </c>
      <c r="B146" s="31"/>
      <c r="C146" s="31"/>
      <c r="E146" s="15"/>
    </row>
    <row r="147">
      <c r="A147" s="86">
        <f t="shared" si="1"/>
        <v>145</v>
      </c>
      <c r="B147" s="31"/>
      <c r="C147" s="31"/>
      <c r="E147" s="15"/>
    </row>
    <row r="148">
      <c r="A148" s="86">
        <f t="shared" si="1"/>
        <v>146</v>
      </c>
      <c r="B148" s="31"/>
      <c r="C148" s="31"/>
      <c r="E148" s="15"/>
    </row>
    <row r="149">
      <c r="A149" s="86">
        <f t="shared" si="1"/>
        <v>147</v>
      </c>
      <c r="B149" s="31"/>
      <c r="C149" s="31"/>
      <c r="E149" s="15"/>
    </row>
    <row r="150">
      <c r="A150" s="86">
        <f t="shared" si="1"/>
        <v>148</v>
      </c>
      <c r="B150" s="31"/>
      <c r="C150" s="31"/>
      <c r="E150" s="15"/>
    </row>
    <row r="151">
      <c r="A151" s="86">
        <f t="shared" si="1"/>
        <v>149</v>
      </c>
      <c r="B151" s="31"/>
      <c r="C151" s="31"/>
      <c r="E151" s="15"/>
    </row>
    <row r="152">
      <c r="A152" s="86">
        <f t="shared" si="1"/>
        <v>150</v>
      </c>
      <c r="B152" s="31"/>
      <c r="C152" s="31"/>
      <c r="E152" s="15"/>
    </row>
    <row r="153">
      <c r="A153" s="86">
        <f t="shared" si="1"/>
        <v>151</v>
      </c>
      <c r="B153" s="31"/>
      <c r="C153" s="31"/>
      <c r="E153" s="15"/>
    </row>
    <row r="154">
      <c r="A154" s="86">
        <f t="shared" si="1"/>
        <v>152</v>
      </c>
      <c r="B154" s="31"/>
      <c r="C154" s="31"/>
      <c r="E154" s="15"/>
    </row>
    <row r="155">
      <c r="A155" s="86">
        <f t="shared" si="1"/>
        <v>153</v>
      </c>
      <c r="B155" s="31"/>
      <c r="C155" s="31"/>
      <c r="E155" s="15"/>
    </row>
    <row r="156">
      <c r="A156" s="86">
        <f t="shared" si="1"/>
        <v>154</v>
      </c>
      <c r="B156" s="31"/>
      <c r="C156" s="31"/>
      <c r="E156" s="15"/>
    </row>
    <row r="157">
      <c r="A157" s="86">
        <f t="shared" si="1"/>
        <v>155</v>
      </c>
      <c r="B157" s="31"/>
      <c r="C157" s="31"/>
      <c r="E157" s="15"/>
    </row>
    <row r="158">
      <c r="A158" s="86">
        <f t="shared" si="1"/>
        <v>156</v>
      </c>
      <c r="B158" s="31"/>
      <c r="C158" s="31"/>
      <c r="E158" s="15"/>
    </row>
    <row r="159">
      <c r="A159" s="86">
        <f t="shared" si="1"/>
        <v>157</v>
      </c>
      <c r="B159" s="31"/>
      <c r="C159" s="31"/>
      <c r="E159" s="15"/>
    </row>
    <row r="160">
      <c r="A160" s="86">
        <f t="shared" si="1"/>
        <v>158</v>
      </c>
      <c r="B160" s="31"/>
      <c r="C160" s="31"/>
      <c r="E160" s="15"/>
    </row>
    <row r="161">
      <c r="A161" s="86">
        <f t="shared" si="1"/>
        <v>159</v>
      </c>
      <c r="B161" s="31"/>
      <c r="C161" s="31"/>
      <c r="E161" s="15"/>
    </row>
    <row r="162">
      <c r="A162" s="86">
        <f t="shared" si="1"/>
        <v>160</v>
      </c>
      <c r="B162" s="31"/>
      <c r="C162" s="31"/>
      <c r="E162" s="15"/>
    </row>
    <row r="163">
      <c r="A163" s="86">
        <f t="shared" si="1"/>
        <v>161</v>
      </c>
      <c r="B163" s="31"/>
      <c r="C163" s="31"/>
      <c r="E163" s="15"/>
    </row>
    <row r="164">
      <c r="A164" s="86">
        <f t="shared" si="1"/>
        <v>162</v>
      </c>
      <c r="B164" s="31"/>
      <c r="C164" s="31"/>
      <c r="E164" s="15"/>
    </row>
    <row r="165">
      <c r="A165" s="86">
        <f t="shared" si="1"/>
        <v>163</v>
      </c>
      <c r="B165" s="31"/>
      <c r="C165" s="31"/>
      <c r="E165" s="15"/>
    </row>
    <row r="166">
      <c r="A166" s="86">
        <f t="shared" si="1"/>
        <v>164</v>
      </c>
      <c r="B166" s="31"/>
      <c r="C166" s="31"/>
      <c r="E166" s="15"/>
    </row>
    <row r="167">
      <c r="A167" s="86">
        <f t="shared" si="1"/>
        <v>165</v>
      </c>
      <c r="B167" s="31"/>
      <c r="C167" s="31"/>
      <c r="E167" s="15"/>
    </row>
    <row r="168">
      <c r="A168" s="86">
        <f t="shared" si="1"/>
        <v>166</v>
      </c>
      <c r="B168" s="31"/>
      <c r="C168" s="31"/>
      <c r="E168" s="15"/>
    </row>
    <row r="169">
      <c r="A169" s="86">
        <f t="shared" si="1"/>
        <v>167</v>
      </c>
      <c r="B169" s="31"/>
      <c r="C169" s="31"/>
      <c r="E169" s="15"/>
    </row>
    <row r="170">
      <c r="A170" s="86">
        <f t="shared" si="1"/>
        <v>168</v>
      </c>
      <c r="B170" s="31"/>
      <c r="C170" s="31"/>
      <c r="E170" s="15"/>
    </row>
    <row r="171">
      <c r="A171" s="86">
        <f t="shared" si="1"/>
        <v>169</v>
      </c>
      <c r="B171" s="31"/>
      <c r="C171" s="31"/>
      <c r="E171" s="15"/>
    </row>
    <row r="172">
      <c r="A172" s="86">
        <f t="shared" si="1"/>
        <v>170</v>
      </c>
      <c r="B172" s="31"/>
      <c r="C172" s="31"/>
      <c r="E172" s="15"/>
    </row>
    <row r="173">
      <c r="A173" s="86">
        <f t="shared" si="1"/>
        <v>171</v>
      </c>
      <c r="B173" s="31"/>
      <c r="C173" s="31"/>
      <c r="E173" s="15"/>
    </row>
    <row r="174">
      <c r="A174" s="86">
        <f t="shared" si="1"/>
        <v>172</v>
      </c>
      <c r="B174" s="31"/>
      <c r="C174" s="31"/>
      <c r="E174" s="15"/>
    </row>
    <row r="175">
      <c r="A175" s="86">
        <f t="shared" si="1"/>
        <v>173</v>
      </c>
      <c r="B175" s="31"/>
      <c r="C175" s="31"/>
      <c r="E175" s="15"/>
    </row>
    <row r="176">
      <c r="A176" s="86">
        <f t="shared" si="1"/>
        <v>174</v>
      </c>
      <c r="B176" s="31"/>
      <c r="C176" s="31"/>
      <c r="E176" s="15"/>
    </row>
    <row r="177">
      <c r="A177" s="86">
        <f t="shared" si="1"/>
        <v>175</v>
      </c>
      <c r="B177" s="31"/>
      <c r="C177" s="31"/>
      <c r="E177" s="15"/>
    </row>
    <row r="178">
      <c r="A178" s="86">
        <f t="shared" si="1"/>
        <v>176</v>
      </c>
      <c r="B178" s="31"/>
      <c r="C178" s="31"/>
      <c r="E178" s="15"/>
    </row>
    <row r="179">
      <c r="A179" s="86">
        <f t="shared" si="1"/>
        <v>177</v>
      </c>
      <c r="B179" s="31"/>
      <c r="C179" s="31"/>
      <c r="E179" s="15"/>
    </row>
    <row r="180">
      <c r="A180" s="86">
        <f t="shared" si="1"/>
        <v>178</v>
      </c>
      <c r="B180" s="31"/>
      <c r="C180" s="31"/>
      <c r="E180" s="15"/>
    </row>
    <row r="181">
      <c r="A181" s="86">
        <f t="shared" si="1"/>
        <v>179</v>
      </c>
      <c r="B181" s="31"/>
      <c r="C181" s="31"/>
      <c r="E181" s="15"/>
    </row>
    <row r="182">
      <c r="A182" s="86">
        <f t="shared" si="1"/>
        <v>180</v>
      </c>
      <c r="B182" s="31"/>
      <c r="C182" s="31"/>
      <c r="E182" s="15"/>
    </row>
    <row r="183">
      <c r="A183" s="86">
        <f t="shared" si="1"/>
        <v>181</v>
      </c>
      <c r="B183" s="31"/>
      <c r="C183" s="31"/>
      <c r="E183" s="15"/>
    </row>
    <row r="184">
      <c r="A184" s="86">
        <f t="shared" si="1"/>
        <v>182</v>
      </c>
      <c r="B184" s="31"/>
      <c r="C184" s="31"/>
      <c r="E184" s="15"/>
    </row>
    <row r="185">
      <c r="A185" s="86">
        <f t="shared" si="1"/>
        <v>183</v>
      </c>
      <c r="B185" s="31"/>
      <c r="C185" s="31"/>
      <c r="E185" s="15"/>
    </row>
    <row r="186">
      <c r="A186" s="86">
        <f t="shared" si="1"/>
        <v>184</v>
      </c>
      <c r="B186" s="31"/>
      <c r="C186" s="31"/>
      <c r="E186" s="15"/>
    </row>
    <row r="187">
      <c r="A187" s="86">
        <f t="shared" si="1"/>
        <v>185</v>
      </c>
      <c r="C187" s="31"/>
      <c r="E187" s="15"/>
    </row>
    <row r="188">
      <c r="A188" s="86">
        <f t="shared" si="1"/>
        <v>186</v>
      </c>
      <c r="C188" s="31"/>
      <c r="E188" s="15"/>
    </row>
    <row r="189">
      <c r="A189" s="86">
        <f t="shared" si="1"/>
        <v>187</v>
      </c>
      <c r="C189" s="31"/>
      <c r="E189" s="15"/>
    </row>
    <row r="190">
      <c r="A190" s="86">
        <f t="shared" si="1"/>
        <v>188</v>
      </c>
      <c r="C190" s="31"/>
      <c r="E190" s="15"/>
    </row>
    <row r="191">
      <c r="A191" s="86">
        <f t="shared" si="1"/>
        <v>189</v>
      </c>
      <c r="C191" s="31"/>
      <c r="E191" s="15"/>
    </row>
    <row r="192">
      <c r="A192" s="86">
        <f t="shared" si="1"/>
        <v>190</v>
      </c>
      <c r="C192" s="31"/>
      <c r="E192" s="15"/>
    </row>
    <row r="193">
      <c r="A193" s="86">
        <f t="shared" si="1"/>
        <v>191</v>
      </c>
      <c r="C193" s="31"/>
      <c r="E193" s="15"/>
    </row>
    <row r="194">
      <c r="A194" s="86">
        <f t="shared" si="1"/>
        <v>192</v>
      </c>
      <c r="C194" s="31"/>
      <c r="E194" s="15"/>
    </row>
    <row r="195">
      <c r="A195" s="86">
        <f t="shared" si="1"/>
        <v>193</v>
      </c>
      <c r="C195" s="31"/>
      <c r="E195" s="15"/>
    </row>
    <row r="196">
      <c r="A196" s="86">
        <f t="shared" si="1"/>
        <v>194</v>
      </c>
      <c r="C196" s="31"/>
      <c r="E196" s="15"/>
    </row>
    <row r="197">
      <c r="A197" s="86">
        <f t="shared" si="1"/>
        <v>195</v>
      </c>
      <c r="C197" s="31"/>
      <c r="E197" s="15"/>
    </row>
    <row r="198">
      <c r="A198" s="86">
        <f t="shared" si="1"/>
        <v>196</v>
      </c>
      <c r="C198" s="31"/>
      <c r="E198" s="15"/>
    </row>
    <row r="199">
      <c r="A199" s="86">
        <f t="shared" si="1"/>
        <v>197</v>
      </c>
      <c r="C199" s="31"/>
      <c r="E199" s="15"/>
    </row>
    <row r="200">
      <c r="A200" s="86">
        <f t="shared" si="1"/>
        <v>198</v>
      </c>
      <c r="C200" s="31"/>
      <c r="E200" s="15"/>
    </row>
    <row r="201">
      <c r="A201" s="86">
        <f t="shared" si="1"/>
        <v>199</v>
      </c>
      <c r="C201" s="31"/>
      <c r="E201" s="15"/>
    </row>
    <row r="202">
      <c r="A202" s="86">
        <f t="shared" si="1"/>
        <v>200</v>
      </c>
      <c r="C202" s="31"/>
      <c r="E202" s="15"/>
    </row>
    <row r="203">
      <c r="A203" s="86">
        <f t="shared" si="1"/>
        <v>201</v>
      </c>
      <c r="C203" s="31"/>
      <c r="E203" s="15"/>
    </row>
    <row r="204">
      <c r="A204" s="86">
        <f t="shared" si="1"/>
        <v>202</v>
      </c>
      <c r="C204" s="31"/>
      <c r="E204" s="15"/>
    </row>
    <row r="205">
      <c r="A205" s="86">
        <f t="shared" si="1"/>
        <v>203</v>
      </c>
      <c r="C205" s="31"/>
      <c r="E205" s="15"/>
    </row>
    <row r="206">
      <c r="A206" s="86">
        <f t="shared" si="1"/>
        <v>204</v>
      </c>
      <c r="C206" s="31"/>
      <c r="E206" s="15"/>
    </row>
    <row r="207">
      <c r="A207" s="86">
        <f t="shared" si="1"/>
        <v>205</v>
      </c>
      <c r="C207" s="31"/>
      <c r="E207" s="15"/>
    </row>
    <row r="208">
      <c r="A208" s="86">
        <f t="shared" si="1"/>
        <v>206</v>
      </c>
      <c r="C208" s="31"/>
      <c r="E208" s="15"/>
    </row>
    <row r="209">
      <c r="A209" s="86">
        <f t="shared" si="1"/>
        <v>207</v>
      </c>
      <c r="C209" s="31"/>
      <c r="E209" s="15"/>
    </row>
    <row r="210">
      <c r="A210" s="86">
        <f t="shared" si="1"/>
        <v>208</v>
      </c>
      <c r="C210" s="31"/>
      <c r="E210" s="15"/>
    </row>
    <row r="211">
      <c r="A211" s="86">
        <f t="shared" si="1"/>
        <v>209</v>
      </c>
      <c r="C211" s="31"/>
      <c r="E211" s="15"/>
    </row>
    <row r="212">
      <c r="A212" s="86">
        <f t="shared" si="1"/>
        <v>210</v>
      </c>
      <c r="C212" s="31"/>
      <c r="E212" s="15"/>
    </row>
    <row r="213">
      <c r="A213" s="86">
        <v>202.0</v>
      </c>
      <c r="E213" s="15"/>
    </row>
    <row r="214">
      <c r="A214" s="86">
        <v>203.0</v>
      </c>
      <c r="E214" s="15"/>
    </row>
    <row r="215">
      <c r="A215" s="86">
        <v>204.0</v>
      </c>
      <c r="E215" s="15"/>
    </row>
    <row r="216">
      <c r="A216" s="86">
        <v>205.0</v>
      </c>
      <c r="E216" s="15"/>
    </row>
    <row r="217">
      <c r="A217" s="86">
        <v>206.0</v>
      </c>
      <c r="E217" s="15"/>
    </row>
    <row r="218">
      <c r="A218" s="86">
        <v>207.0</v>
      </c>
      <c r="E218" s="15"/>
    </row>
    <row r="219">
      <c r="A219" s="86">
        <v>208.0</v>
      </c>
      <c r="E219" s="15"/>
    </row>
    <row r="220">
      <c r="A220" s="86">
        <v>209.0</v>
      </c>
      <c r="E220" s="15"/>
    </row>
    <row r="221">
      <c r="A221" s="86">
        <v>210.0</v>
      </c>
      <c r="E221" s="15"/>
    </row>
    <row r="222">
      <c r="A222" s="86">
        <v>211.0</v>
      </c>
      <c r="E222" s="15"/>
    </row>
    <row r="223">
      <c r="A223" s="86">
        <v>212.0</v>
      </c>
    </row>
    <row r="224">
      <c r="A224" s="86">
        <v>213.0</v>
      </c>
    </row>
    <row r="225">
      <c r="A225" s="86">
        <v>214.0</v>
      </c>
    </row>
  </sheetData>
  <dataValidations>
    <dataValidation type="list" allowBlank="1" showErrorMessage="1" sqref="E3:E222">
      <formula1>"Sudah,Belum"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5.86"/>
    <col customWidth="1" min="3" max="3" width="12.0"/>
    <col customWidth="1" min="4" max="4" width="12.57"/>
    <col customWidth="1" min="5" max="5" width="17.29"/>
    <col customWidth="1" min="6" max="6" width="42.0"/>
    <col customWidth="1" min="7" max="7" width="8.71"/>
    <col customWidth="1" min="8" max="8" width="30.86"/>
    <col customWidth="1" min="9" max="10" width="8.71"/>
    <col customWidth="1" min="11" max="11" width="9.86"/>
    <col customWidth="1" min="12" max="13" width="8.71"/>
    <col customWidth="1" min="14" max="14" width="13.14"/>
    <col customWidth="1" min="15" max="24" width="8.71"/>
  </cols>
  <sheetData>
    <row r="1" ht="54.0" customHeight="1">
      <c r="A1" s="2" t="s">
        <v>2</v>
      </c>
    </row>
    <row r="2">
      <c r="A2" s="4" t="s">
        <v>572</v>
      </c>
      <c r="B2" s="5" t="s">
        <v>577</v>
      </c>
      <c r="C2" s="7" t="s">
        <v>582</v>
      </c>
      <c r="D2" s="7" t="s">
        <v>587</v>
      </c>
      <c r="E2" s="5" t="s">
        <v>591</v>
      </c>
      <c r="F2" s="5" t="s">
        <v>595</v>
      </c>
    </row>
    <row r="3">
      <c r="A3" s="8"/>
      <c r="B3" s="8"/>
      <c r="C3" s="7" t="s">
        <v>600</v>
      </c>
      <c r="D3" s="7" t="s">
        <v>603</v>
      </c>
      <c r="E3" s="8"/>
      <c r="F3" s="8"/>
      <c r="H3" s="9" t="s">
        <v>26</v>
      </c>
      <c r="Q3" s="15">
        <f>4450+1550</f>
        <v>6000</v>
      </c>
    </row>
    <row r="4">
      <c r="A4" s="17" t="s">
        <v>615</v>
      </c>
      <c r="B4" s="11"/>
      <c r="C4" s="11"/>
      <c r="D4" s="11"/>
      <c r="E4" s="11"/>
      <c r="F4" s="12"/>
    </row>
    <row r="5">
      <c r="A5" s="20">
        <v>1.0</v>
      </c>
      <c r="B5" s="22" t="s">
        <v>44</v>
      </c>
      <c r="C5" s="24">
        <v>1550.0</v>
      </c>
      <c r="D5" s="24">
        <v>1550.0</v>
      </c>
      <c r="E5" s="18" t="s">
        <v>41</v>
      </c>
      <c r="F5" s="30"/>
      <c r="I5" s="31" t="s">
        <v>56</v>
      </c>
      <c r="J5" s="31" t="s">
        <v>58</v>
      </c>
      <c r="K5" s="31" t="s">
        <v>59</v>
      </c>
      <c r="L5" s="31" t="s">
        <v>60</v>
      </c>
      <c r="M5" s="31" t="s">
        <v>61</v>
      </c>
    </row>
    <row r="6">
      <c r="A6" s="34">
        <v>2.0</v>
      </c>
      <c r="B6" s="22" t="s">
        <v>63</v>
      </c>
      <c r="C6" s="24">
        <v>20.0</v>
      </c>
      <c r="D6" s="24">
        <v>6.19</v>
      </c>
      <c r="E6" s="18" t="s">
        <v>41</v>
      </c>
      <c r="F6" s="24" t="s">
        <v>66</v>
      </c>
      <c r="I6" s="15">
        <v>4415.9400000000005</v>
      </c>
      <c r="J6" s="31">
        <v>200.0</v>
      </c>
      <c r="K6" s="15">
        <v>9711.86</v>
      </c>
      <c r="L6" s="15">
        <v>1925.0</v>
      </c>
      <c r="M6" s="15">
        <v>5120.0</v>
      </c>
      <c r="O6" s="31" t="s">
        <v>67</v>
      </c>
      <c r="P6" s="31" t="s">
        <v>69</v>
      </c>
    </row>
    <row r="7">
      <c r="A7" s="20">
        <v>3.0</v>
      </c>
      <c r="B7" s="22" t="s">
        <v>70</v>
      </c>
      <c r="C7" s="24">
        <v>300.0</v>
      </c>
      <c r="D7" s="24">
        <v>80.0</v>
      </c>
      <c r="E7" s="18" t="s">
        <v>48</v>
      </c>
      <c r="F7" s="24" t="s">
        <v>71</v>
      </c>
      <c r="H7" s="31" t="s">
        <v>73</v>
      </c>
      <c r="I7" s="15">
        <f>SUM(I5:M6)</f>
        <v>21372.8</v>
      </c>
      <c r="O7" s="31">
        <v>4450.0</v>
      </c>
      <c r="P7" s="31">
        <v>1550.0</v>
      </c>
      <c r="Q7" s="31">
        <v>100.0</v>
      </c>
      <c r="R7" s="31">
        <v>1000.0</v>
      </c>
    </row>
    <row r="8">
      <c r="A8" s="34">
        <v>4.0</v>
      </c>
      <c r="B8" s="22" t="s">
        <v>78</v>
      </c>
      <c r="C8" s="24">
        <v>40.0</v>
      </c>
      <c r="D8" s="30"/>
      <c r="E8" s="18" t="s">
        <v>48</v>
      </c>
      <c r="F8" s="30"/>
      <c r="H8" s="31" t="s">
        <v>80</v>
      </c>
      <c r="I8" s="38">
        <f>I7-O8</f>
        <v>14272.8</v>
      </c>
      <c r="N8" s="31" t="s">
        <v>85</v>
      </c>
      <c r="O8" s="15">
        <f>SUM(O7:R7)</f>
        <v>7100</v>
      </c>
    </row>
    <row r="9">
      <c r="A9" s="20">
        <v>5.0</v>
      </c>
      <c r="B9" s="22" t="s">
        <v>672</v>
      </c>
      <c r="C9" s="24">
        <v>30.0</v>
      </c>
      <c r="D9" s="30"/>
      <c r="E9" s="18" t="s">
        <v>48</v>
      </c>
      <c r="F9" s="30"/>
      <c r="H9" s="31"/>
      <c r="N9" s="31" t="s">
        <v>90</v>
      </c>
      <c r="O9" s="31">
        <v>13000.0</v>
      </c>
      <c r="P9" s="31" t="s">
        <v>92</v>
      </c>
    </row>
    <row r="10">
      <c r="A10" s="34">
        <v>6.0</v>
      </c>
      <c r="B10" s="22" t="s">
        <v>94</v>
      </c>
      <c r="C10" s="24">
        <v>20.0</v>
      </c>
      <c r="D10" s="30"/>
      <c r="E10" s="18" t="s">
        <v>48</v>
      </c>
      <c r="F10" s="30"/>
      <c r="H10" s="31"/>
      <c r="N10" s="31" t="s">
        <v>96</v>
      </c>
      <c r="O10" s="31">
        <v>3000.0</v>
      </c>
    </row>
    <row r="11">
      <c r="A11" s="20">
        <v>7.0</v>
      </c>
      <c r="B11" s="22" t="s">
        <v>97</v>
      </c>
      <c r="C11" s="24">
        <v>130.0</v>
      </c>
      <c r="D11" s="30"/>
      <c r="E11" s="18" t="s">
        <v>48</v>
      </c>
      <c r="F11" s="30"/>
    </row>
    <row r="12">
      <c r="A12" s="34">
        <v>8.0</v>
      </c>
      <c r="B12" s="22" t="s">
        <v>101</v>
      </c>
      <c r="C12" s="24">
        <v>20.0</v>
      </c>
      <c r="D12" s="30"/>
      <c r="E12" s="18" t="s">
        <v>48</v>
      </c>
      <c r="F12" s="30"/>
    </row>
    <row r="13">
      <c r="A13" s="20">
        <v>9.0</v>
      </c>
      <c r="B13" s="22" t="s">
        <v>108</v>
      </c>
      <c r="C13" s="24">
        <v>70.0</v>
      </c>
      <c r="D13" s="24">
        <v>54.56</v>
      </c>
      <c r="E13" s="18" t="s">
        <v>41</v>
      </c>
      <c r="F13" s="24" t="s">
        <v>43</v>
      </c>
      <c r="H13" s="40" t="s">
        <v>111</v>
      </c>
    </row>
    <row r="14">
      <c r="A14" s="34">
        <v>10.0</v>
      </c>
      <c r="B14" s="22" t="s">
        <v>114</v>
      </c>
      <c r="C14" s="24">
        <v>100.0</v>
      </c>
      <c r="D14" s="24">
        <v>84.0</v>
      </c>
      <c r="E14" s="18" t="s">
        <v>41</v>
      </c>
      <c r="F14" s="24" t="s">
        <v>43</v>
      </c>
      <c r="I14" s="31" t="s">
        <v>56</v>
      </c>
      <c r="J14" s="31" t="s">
        <v>58</v>
      </c>
      <c r="K14" s="31" t="s">
        <v>59</v>
      </c>
      <c r="L14" s="31" t="s">
        <v>60</v>
      </c>
      <c r="M14" s="31" t="s">
        <v>61</v>
      </c>
    </row>
    <row r="15">
      <c r="A15" s="20">
        <v>11.0</v>
      </c>
      <c r="B15" s="22" t="s">
        <v>117</v>
      </c>
      <c r="C15" s="24">
        <v>70.0</v>
      </c>
      <c r="D15" s="30"/>
      <c r="E15" s="18" t="s">
        <v>48</v>
      </c>
      <c r="F15" s="30"/>
      <c r="I15" s="15">
        <v>2287.0</v>
      </c>
      <c r="J15" s="31" t="s">
        <v>54</v>
      </c>
      <c r="K15" s="15">
        <v>3465.0</v>
      </c>
      <c r="L15" s="15">
        <v>9817.5</v>
      </c>
      <c r="M15" s="15">
        <v>2570.0</v>
      </c>
    </row>
    <row r="16">
      <c r="A16" s="34">
        <v>12.0</v>
      </c>
      <c r="B16" s="22" t="s">
        <v>123</v>
      </c>
      <c r="C16" s="24">
        <v>30.0</v>
      </c>
      <c r="D16" s="30"/>
      <c r="E16" s="18" t="s">
        <v>48</v>
      </c>
      <c r="F16" s="30"/>
    </row>
    <row r="17">
      <c r="A17" s="20">
        <v>13.0</v>
      </c>
      <c r="B17" s="41" t="s">
        <v>696</v>
      </c>
      <c r="C17" s="24">
        <v>40.0</v>
      </c>
      <c r="D17" s="24">
        <v>55.0</v>
      </c>
      <c r="E17" s="18" t="s">
        <v>41</v>
      </c>
      <c r="F17" s="24" t="s">
        <v>131</v>
      </c>
    </row>
    <row r="18">
      <c r="A18" s="34">
        <v>14.0</v>
      </c>
      <c r="B18" s="22" t="s">
        <v>132</v>
      </c>
      <c r="C18" s="24">
        <v>200.0</v>
      </c>
      <c r="D18" s="24">
        <v>250.0</v>
      </c>
      <c r="E18" s="18" t="s">
        <v>48</v>
      </c>
      <c r="F18" s="24" t="s">
        <v>134</v>
      </c>
      <c r="H18" s="31" t="s">
        <v>73</v>
      </c>
      <c r="I18" s="44">
        <f>SUM(I15:M17)</f>
        <v>18139.5</v>
      </c>
    </row>
    <row r="19">
      <c r="A19" s="20">
        <v>15.0</v>
      </c>
      <c r="B19" s="22" t="s">
        <v>57</v>
      </c>
      <c r="C19" s="24">
        <v>600.0</v>
      </c>
      <c r="D19" s="30"/>
      <c r="E19" s="18" t="s">
        <v>48</v>
      </c>
      <c r="F19" s="30"/>
    </row>
    <row r="20">
      <c r="A20" s="34">
        <v>16.0</v>
      </c>
      <c r="B20" s="22" t="s">
        <v>140</v>
      </c>
      <c r="C20" s="24" t="s">
        <v>54</v>
      </c>
      <c r="D20" s="24" t="s">
        <v>54</v>
      </c>
      <c r="E20" s="18" t="s">
        <v>41</v>
      </c>
      <c r="F20" s="30"/>
    </row>
    <row r="21">
      <c r="A21" s="20">
        <v>17.0</v>
      </c>
      <c r="B21" s="41" t="s">
        <v>715</v>
      </c>
      <c r="C21" s="24">
        <v>500.0</v>
      </c>
      <c r="D21" s="30"/>
      <c r="E21" s="18" t="s">
        <v>48</v>
      </c>
      <c r="F21" s="30"/>
      <c r="J21" s="31" t="s">
        <v>151</v>
      </c>
      <c r="L21" s="31" t="s">
        <v>152</v>
      </c>
    </row>
    <row r="22">
      <c r="A22" s="34">
        <v>18.0</v>
      </c>
      <c r="B22" s="41" t="s">
        <v>719</v>
      </c>
      <c r="C22" s="24">
        <v>20.0</v>
      </c>
      <c r="D22" s="30"/>
      <c r="E22" s="18" t="s">
        <v>48</v>
      </c>
      <c r="F22" s="30"/>
      <c r="H22" s="45" t="s">
        <v>159</v>
      </c>
      <c r="I22" s="31">
        <v>1400.0</v>
      </c>
      <c r="J22" s="31">
        <v>11200.0</v>
      </c>
      <c r="L22" s="46">
        <f>J22-I8</f>
        <v>-3072.8</v>
      </c>
    </row>
    <row r="23">
      <c r="A23" s="20">
        <v>19.0</v>
      </c>
      <c r="B23" s="22" t="s">
        <v>163</v>
      </c>
      <c r="C23" s="24">
        <v>700.0</v>
      </c>
      <c r="D23" s="24">
        <v>700.0</v>
      </c>
      <c r="E23" s="18" t="s">
        <v>48</v>
      </c>
      <c r="F23" s="24" t="s">
        <v>167</v>
      </c>
      <c r="H23" s="40" t="s">
        <v>181</v>
      </c>
      <c r="I23" s="31">
        <v>2000.0</v>
      </c>
      <c r="J23" s="31">
        <v>16000.0</v>
      </c>
      <c r="L23" s="46">
        <f>J23-I18</f>
        <v>-2139.5</v>
      </c>
    </row>
    <row r="24">
      <c r="A24" s="53" t="s">
        <v>73</v>
      </c>
      <c r="B24" s="12"/>
      <c r="C24" s="54">
        <f>sum(C5:C23)</f>
        <v>4440</v>
      </c>
      <c r="D24" s="30"/>
      <c r="E24" s="18"/>
      <c r="F24" s="30"/>
    </row>
    <row r="25">
      <c r="A25" s="55" t="s">
        <v>733</v>
      </c>
      <c r="B25" s="55" t="s">
        <v>734</v>
      </c>
      <c r="C25" s="57"/>
      <c r="D25" s="57"/>
      <c r="E25" s="57"/>
      <c r="F25" s="57"/>
    </row>
    <row r="26">
      <c r="A26" s="20">
        <v>1.0</v>
      </c>
      <c r="B26" s="22" t="s">
        <v>195</v>
      </c>
      <c r="C26" s="24">
        <f> 35 +1550</f>
        <v>1585</v>
      </c>
      <c r="D26" s="24">
        <f> 40 +1550</f>
        <v>1590</v>
      </c>
      <c r="E26" s="18" t="s">
        <v>48</v>
      </c>
      <c r="F26" s="30"/>
    </row>
    <row r="27">
      <c r="A27" s="20">
        <v>2.0</v>
      </c>
      <c r="B27" s="22" t="s">
        <v>202</v>
      </c>
      <c r="C27" s="24">
        <f t="shared" ref="C27:C28" si="1">28 +40</f>
        <v>68</v>
      </c>
      <c r="D27" s="24">
        <f t="shared" ref="D27:D28" si="2">20 +40</f>
        <v>60</v>
      </c>
      <c r="E27" s="18" t="s">
        <v>48</v>
      </c>
      <c r="F27" s="30"/>
    </row>
    <row r="28">
      <c r="A28" s="20">
        <v>3.0</v>
      </c>
      <c r="B28" s="22" t="s">
        <v>746</v>
      </c>
      <c r="C28" s="24">
        <f t="shared" si="1"/>
        <v>68</v>
      </c>
      <c r="D28" s="24">
        <f t="shared" si="2"/>
        <v>60</v>
      </c>
      <c r="E28" s="18" t="s">
        <v>48</v>
      </c>
      <c r="F28" s="30"/>
    </row>
    <row r="29">
      <c r="A29" s="53" t="s">
        <v>73</v>
      </c>
      <c r="B29" s="12"/>
      <c r="C29" s="54">
        <f t="shared" ref="C29:D29" si="3">sum(C26:C28)</f>
        <v>1721</v>
      </c>
      <c r="D29" s="54">
        <f t="shared" si="3"/>
        <v>1710</v>
      </c>
      <c r="E29" s="18"/>
      <c r="F29" s="30"/>
      <c r="H29" s="31" t="s">
        <v>137</v>
      </c>
      <c r="I29" s="15">
        <f>D29+D5+D6+D6+D13+350+D14+D17+D18+350</f>
        <v>4415.94</v>
      </c>
    </row>
    <row r="30">
      <c r="A30" s="55" t="s">
        <v>760</v>
      </c>
      <c r="B30" s="55" t="s">
        <v>762</v>
      </c>
      <c r="C30" s="57"/>
      <c r="D30" s="57"/>
      <c r="E30" s="57"/>
      <c r="F30" s="57"/>
      <c r="H30" s="31" t="s">
        <v>148</v>
      </c>
      <c r="I30" s="15">
        <f>sum(C7:C12,C15:C16,C19,C21:C22,C36)+350</f>
        <v>2287</v>
      </c>
    </row>
    <row r="31">
      <c r="A31" s="20">
        <v>1.0</v>
      </c>
      <c r="B31" s="22" t="s">
        <v>242</v>
      </c>
      <c r="C31" s="24">
        <f>27</f>
        <v>27</v>
      </c>
      <c r="D31" s="30"/>
      <c r="E31" s="18" t="s">
        <v>48</v>
      </c>
      <c r="F31" s="30"/>
      <c r="H31" s="31" t="s">
        <v>73</v>
      </c>
      <c r="I31" s="15">
        <f>sum(I29:I30)</f>
        <v>6702.94</v>
      </c>
    </row>
    <row r="32">
      <c r="A32" s="20">
        <v>2.0</v>
      </c>
      <c r="B32" s="22" t="s">
        <v>247</v>
      </c>
      <c r="C32" s="24">
        <f t="shared" ref="C32:C33" si="4"> 30</f>
        <v>30</v>
      </c>
      <c r="D32" s="30"/>
      <c r="E32" s="18" t="s">
        <v>48</v>
      </c>
      <c r="F32" s="30"/>
      <c r="M32" s="31" t="s">
        <v>252</v>
      </c>
    </row>
    <row r="33">
      <c r="A33" s="20">
        <v>3.0</v>
      </c>
      <c r="B33" s="22" t="s">
        <v>253</v>
      </c>
      <c r="C33" s="24">
        <f t="shared" si="4"/>
        <v>30</v>
      </c>
      <c r="D33" s="30"/>
      <c r="E33" s="18" t="s">
        <v>48</v>
      </c>
      <c r="F33" s="30"/>
      <c r="M33" s="31" t="s">
        <v>256</v>
      </c>
    </row>
    <row r="34">
      <c r="A34" s="20">
        <v>4.0</v>
      </c>
      <c r="B34" s="22" t="s">
        <v>259</v>
      </c>
      <c r="C34" s="24">
        <f>20</f>
        <v>20</v>
      </c>
      <c r="D34" s="30"/>
      <c r="E34" s="18" t="s">
        <v>48</v>
      </c>
      <c r="F34" s="30"/>
      <c r="M34" s="31" t="s">
        <v>263</v>
      </c>
    </row>
    <row r="35">
      <c r="A35" s="20">
        <v>5.0</v>
      </c>
      <c r="B35" s="22" t="s">
        <v>266</v>
      </c>
      <c r="C35" s="24">
        <f>70</f>
        <v>70</v>
      </c>
      <c r="D35" s="24">
        <v>150.0</v>
      </c>
      <c r="E35" s="18" t="s">
        <v>48</v>
      </c>
      <c r="F35" s="30"/>
      <c r="M35" s="31" t="s">
        <v>269</v>
      </c>
    </row>
    <row r="36">
      <c r="A36" s="53" t="s">
        <v>73</v>
      </c>
      <c r="B36" s="12"/>
      <c r="C36" s="54">
        <f>SUM(C31:C35)</f>
        <v>177</v>
      </c>
      <c r="D36" s="30"/>
      <c r="E36" s="18" t="s">
        <v>48</v>
      </c>
      <c r="F36" s="30"/>
      <c r="M36" s="31" t="s">
        <v>274</v>
      </c>
    </row>
    <row r="37">
      <c r="A37" s="59" t="s">
        <v>771</v>
      </c>
      <c r="B37" s="12"/>
      <c r="C37" s="69">
        <f>SUM(C36+C29+C24)-1550</f>
        <v>4788</v>
      </c>
      <c r="D37" s="70"/>
      <c r="E37" s="71"/>
      <c r="F37" s="72"/>
    </row>
    <row r="38">
      <c r="M38" s="31" t="s">
        <v>290</v>
      </c>
    </row>
    <row r="39">
      <c r="A39" s="1" t="s">
        <v>3</v>
      </c>
    </row>
    <row r="40">
      <c r="A40" s="3" t="s">
        <v>772</v>
      </c>
      <c r="B40" s="3" t="s">
        <v>773</v>
      </c>
      <c r="C40" s="6" t="s">
        <v>774</v>
      </c>
      <c r="D40" s="6" t="s">
        <v>775</v>
      </c>
      <c r="E40" s="3" t="s">
        <v>776</v>
      </c>
      <c r="F40" s="3" t="s">
        <v>777</v>
      </c>
    </row>
    <row r="41">
      <c r="A41" s="8"/>
      <c r="B41" s="8"/>
      <c r="C41" s="6" t="s">
        <v>778</v>
      </c>
      <c r="D41" s="6" t="s">
        <v>779</v>
      </c>
      <c r="E41" s="8"/>
      <c r="F41" s="8"/>
    </row>
    <row r="42">
      <c r="A42" s="10" t="s">
        <v>780</v>
      </c>
      <c r="B42" s="11"/>
      <c r="C42" s="11"/>
      <c r="D42" s="11"/>
      <c r="E42" s="11"/>
      <c r="F42" s="12"/>
    </row>
    <row r="43">
      <c r="A43" s="13">
        <v>1.0</v>
      </c>
      <c r="B43" s="14" t="s">
        <v>781</v>
      </c>
      <c r="C43" s="16" t="s">
        <v>35</v>
      </c>
      <c r="D43" s="16" t="s">
        <v>35</v>
      </c>
      <c r="E43" s="18" t="s">
        <v>41</v>
      </c>
      <c r="F43" s="16" t="s">
        <v>43</v>
      </c>
    </row>
    <row r="44">
      <c r="A44" s="13">
        <v>2.0</v>
      </c>
      <c r="B44" s="14" t="s">
        <v>782</v>
      </c>
      <c r="C44" s="16">
        <v>150.0</v>
      </c>
      <c r="D44" s="16">
        <v>150.0</v>
      </c>
      <c r="E44" s="18" t="s">
        <v>48</v>
      </c>
      <c r="F44" s="26"/>
    </row>
    <row r="45">
      <c r="A45" s="13">
        <v>3.0</v>
      </c>
      <c r="B45" s="28" t="s">
        <v>52</v>
      </c>
      <c r="C45" s="16">
        <v>40.0</v>
      </c>
      <c r="D45" s="16">
        <v>40.0</v>
      </c>
      <c r="E45" s="18" t="s">
        <v>48</v>
      </c>
      <c r="F45" s="26"/>
    </row>
    <row r="46">
      <c r="A46" s="13">
        <v>4.0</v>
      </c>
      <c r="B46" s="14" t="s">
        <v>783</v>
      </c>
      <c r="C46" s="16" t="s">
        <v>54</v>
      </c>
      <c r="D46" s="16" t="s">
        <v>55</v>
      </c>
      <c r="E46" s="18" t="s">
        <v>41</v>
      </c>
      <c r="F46" s="26"/>
    </row>
    <row r="47">
      <c r="A47" s="36" t="s">
        <v>65</v>
      </c>
      <c r="B47" s="12"/>
      <c r="C47" s="16">
        <f t="shared" ref="C47:D47" si="5">SUM(C43:C45)</f>
        <v>190</v>
      </c>
      <c r="D47" s="16">
        <f t="shared" si="5"/>
        <v>190</v>
      </c>
      <c r="E47" s="26"/>
      <c r="F47" s="26"/>
    </row>
    <row r="48">
      <c r="A48" s="25" t="s">
        <v>784</v>
      </c>
      <c r="B48" s="37" t="s">
        <v>785</v>
      </c>
      <c r="C48" s="39"/>
      <c r="D48" s="39"/>
      <c r="E48" s="39"/>
      <c r="F48" s="39"/>
    </row>
    <row r="49">
      <c r="A49" s="13">
        <v>1.0</v>
      </c>
      <c r="B49" s="14" t="s">
        <v>786</v>
      </c>
      <c r="C49" s="16" t="s">
        <v>54</v>
      </c>
      <c r="D49" s="16" t="s">
        <v>54</v>
      </c>
      <c r="E49" s="18" t="s">
        <v>48</v>
      </c>
      <c r="F49" s="26"/>
    </row>
    <row r="50">
      <c r="A50" s="13">
        <v>2.0</v>
      </c>
      <c r="B50" s="28" t="s">
        <v>95</v>
      </c>
      <c r="C50" s="16">
        <f t="shared" ref="C50:D50" si="6">4450+296 + 40</f>
        <v>4786</v>
      </c>
      <c r="D50" s="16">
        <f t="shared" si="6"/>
        <v>4786</v>
      </c>
      <c r="E50" s="18" t="s">
        <v>41</v>
      </c>
      <c r="F50" s="26"/>
    </row>
    <row r="51">
      <c r="A51" s="13">
        <v>3.0</v>
      </c>
      <c r="B51" s="28" t="s">
        <v>102</v>
      </c>
      <c r="C51" s="16">
        <f t="shared" ref="C51:D51" si="7">250+40</f>
        <v>290</v>
      </c>
      <c r="D51" s="16">
        <f t="shared" si="7"/>
        <v>290</v>
      </c>
      <c r="E51" s="18" t="s">
        <v>48</v>
      </c>
      <c r="F51" s="26"/>
    </row>
    <row r="52">
      <c r="A52" s="13">
        <v>4.0</v>
      </c>
      <c r="B52" s="28" t="s">
        <v>110</v>
      </c>
      <c r="C52" s="16">
        <f t="shared" ref="C52:D52" si="8">32.93 + 40</f>
        <v>72.93</v>
      </c>
      <c r="D52" s="16">
        <f t="shared" si="8"/>
        <v>72.93</v>
      </c>
      <c r="E52" s="18" t="s">
        <v>41</v>
      </c>
      <c r="F52" s="26"/>
    </row>
    <row r="53">
      <c r="A53" s="13">
        <v>5.0</v>
      </c>
      <c r="B53" s="28" t="s">
        <v>119</v>
      </c>
      <c r="C53" s="16">
        <f t="shared" ref="C53:D53" si="9">32.93 + 40</f>
        <v>72.93</v>
      </c>
      <c r="D53" s="16">
        <f t="shared" si="9"/>
        <v>72.93</v>
      </c>
      <c r="E53" s="18" t="s">
        <v>41</v>
      </c>
      <c r="F53" s="26"/>
    </row>
    <row r="54">
      <c r="A54" s="13"/>
      <c r="B54" s="28" t="s">
        <v>121</v>
      </c>
      <c r="C54" s="16">
        <f t="shared" ref="C54:D54" si="10"> 150+40</f>
        <v>190</v>
      </c>
      <c r="D54" s="16">
        <f t="shared" si="10"/>
        <v>190</v>
      </c>
      <c r="E54" s="18" t="s">
        <v>41</v>
      </c>
      <c r="F54" s="26"/>
    </row>
    <row r="55">
      <c r="A55" s="36" t="s">
        <v>73</v>
      </c>
      <c r="B55" s="12"/>
      <c r="C55" s="42">
        <f>SUM(C49:C54)</f>
        <v>5411.86</v>
      </c>
      <c r="D55" s="26">
        <f>SUM(D50:D54)</f>
        <v>5411.86</v>
      </c>
      <c r="E55" s="26"/>
      <c r="F55" s="26"/>
    </row>
    <row r="56">
      <c r="A56" s="43"/>
      <c r="B56" s="37" t="s">
        <v>787</v>
      </c>
      <c r="C56" s="39"/>
      <c r="D56" s="39"/>
      <c r="E56" s="39"/>
      <c r="F56" s="39"/>
    </row>
    <row r="57">
      <c r="A57" s="13">
        <v>1.0</v>
      </c>
      <c r="B57" s="14" t="s">
        <v>788</v>
      </c>
      <c r="C57" s="16" t="s">
        <v>142</v>
      </c>
      <c r="D57" s="26"/>
      <c r="E57" s="18" t="s">
        <v>48</v>
      </c>
      <c r="F57" s="26"/>
    </row>
    <row r="58">
      <c r="A58" s="13">
        <v>2.0</v>
      </c>
      <c r="B58" s="28" t="s">
        <v>146</v>
      </c>
      <c r="C58" s="16">
        <v>40.0</v>
      </c>
      <c r="D58" s="26"/>
      <c r="E58" s="18" t="s">
        <v>48</v>
      </c>
      <c r="F58" s="26"/>
    </row>
    <row r="59">
      <c r="A59" s="13">
        <v>3.0</v>
      </c>
      <c r="B59" s="28" t="s">
        <v>150</v>
      </c>
      <c r="C59" s="16" t="s">
        <v>153</v>
      </c>
      <c r="D59" s="26"/>
      <c r="E59" s="18" t="s">
        <v>48</v>
      </c>
      <c r="F59" s="26"/>
    </row>
    <row r="60">
      <c r="A60" s="13">
        <v>4.0</v>
      </c>
      <c r="B60" s="28" t="s">
        <v>156</v>
      </c>
      <c r="C60" s="16" t="s">
        <v>157</v>
      </c>
      <c r="D60" s="26"/>
      <c r="E60" s="18" t="s">
        <v>48</v>
      </c>
      <c r="F60" s="26"/>
    </row>
    <row r="61">
      <c r="A61" s="13">
        <v>5.0</v>
      </c>
      <c r="B61" s="28" t="s">
        <v>160</v>
      </c>
      <c r="C61" s="16" t="s">
        <v>157</v>
      </c>
      <c r="D61" s="26"/>
      <c r="E61" s="18" t="s">
        <v>48</v>
      </c>
      <c r="F61" s="26"/>
    </row>
    <row r="62">
      <c r="A62" s="13">
        <v>6.0</v>
      </c>
      <c r="B62" s="28" t="s">
        <v>161</v>
      </c>
      <c r="C62" s="16" t="s">
        <v>162</v>
      </c>
      <c r="D62" s="26"/>
      <c r="E62" s="18" t="s">
        <v>48</v>
      </c>
      <c r="F62" s="26"/>
    </row>
    <row r="63">
      <c r="A63" s="13">
        <v>7.0</v>
      </c>
      <c r="B63" s="28" t="s">
        <v>164</v>
      </c>
      <c r="C63" s="16">
        <f>120+40</f>
        <v>160</v>
      </c>
      <c r="D63" s="26"/>
      <c r="E63" s="18" t="s">
        <v>48</v>
      </c>
      <c r="F63" s="26"/>
    </row>
    <row r="64">
      <c r="A64" s="13">
        <v>8.0</v>
      </c>
      <c r="B64" s="28" t="s">
        <v>169</v>
      </c>
      <c r="C64" s="16">
        <f>60+40</f>
        <v>100</v>
      </c>
      <c r="D64" s="26"/>
      <c r="E64" s="18" t="s">
        <v>48</v>
      </c>
      <c r="F64" s="26"/>
    </row>
    <row r="65">
      <c r="A65" s="36" t="s">
        <v>73</v>
      </c>
      <c r="B65" s="12"/>
      <c r="C65" s="48">
        <f>SUM(C58:C64)+350</f>
        <v>650</v>
      </c>
      <c r="D65" s="42">
        <v>650.0</v>
      </c>
      <c r="E65" s="26"/>
      <c r="F65" s="26"/>
    </row>
    <row r="66">
      <c r="A66" s="25" t="s">
        <v>789</v>
      </c>
      <c r="B66" s="37" t="s">
        <v>790</v>
      </c>
      <c r="C66" s="39"/>
      <c r="D66" s="39"/>
      <c r="E66" s="39"/>
      <c r="F66" s="39"/>
    </row>
    <row r="67">
      <c r="A67" s="13">
        <v>1.0</v>
      </c>
      <c r="B67" s="28" t="s">
        <v>57</v>
      </c>
      <c r="C67" s="16">
        <v>600.0</v>
      </c>
      <c r="D67" s="16">
        <v>600.0</v>
      </c>
      <c r="E67" s="18" t="s">
        <v>48</v>
      </c>
      <c r="F67" s="26"/>
    </row>
    <row r="68">
      <c r="A68" s="33">
        <v>2.0</v>
      </c>
      <c r="B68" s="28" t="s">
        <v>144</v>
      </c>
      <c r="C68" s="16">
        <v>150.0</v>
      </c>
      <c r="D68" s="16">
        <v>150.0</v>
      </c>
      <c r="E68" s="18" t="s">
        <v>48</v>
      </c>
      <c r="F68" s="26"/>
    </row>
    <row r="69">
      <c r="A69" s="13">
        <v>3.0</v>
      </c>
      <c r="B69" s="14" t="s">
        <v>791</v>
      </c>
      <c r="C69" s="16" t="s">
        <v>54</v>
      </c>
      <c r="D69" s="16" t="s">
        <v>54</v>
      </c>
      <c r="E69" s="18" t="s">
        <v>48</v>
      </c>
      <c r="F69" s="26"/>
    </row>
    <row r="70">
      <c r="A70" s="33">
        <v>4.0</v>
      </c>
      <c r="B70" s="14" t="s">
        <v>792</v>
      </c>
      <c r="C70" s="16">
        <v>20.0</v>
      </c>
      <c r="D70" s="16">
        <v>20.0</v>
      </c>
      <c r="E70" s="18" t="s">
        <v>48</v>
      </c>
      <c r="F70" s="26"/>
    </row>
    <row r="71">
      <c r="A71" s="13">
        <v>5.0</v>
      </c>
      <c r="B71" s="14" t="s">
        <v>793</v>
      </c>
      <c r="C71" s="16">
        <v>100.0</v>
      </c>
      <c r="D71" s="16">
        <v>100.0</v>
      </c>
      <c r="E71" s="18" t="s">
        <v>48</v>
      </c>
      <c r="F71" s="26"/>
    </row>
    <row r="72">
      <c r="A72" s="25" t="s">
        <v>794</v>
      </c>
      <c r="B72" s="37" t="s">
        <v>795</v>
      </c>
      <c r="C72" s="39"/>
      <c r="D72" s="39"/>
      <c r="E72" s="39"/>
      <c r="F72" s="39"/>
    </row>
    <row r="73">
      <c r="A73" s="13">
        <v>1.0</v>
      </c>
      <c r="B73" s="28" t="s">
        <v>193</v>
      </c>
      <c r="C73" s="16">
        <v>350.0</v>
      </c>
      <c r="D73" s="16">
        <v>70.0</v>
      </c>
      <c r="E73" s="18" t="s">
        <v>48</v>
      </c>
      <c r="F73" s="16" t="s">
        <v>196</v>
      </c>
    </row>
    <row r="74">
      <c r="A74" s="13">
        <v>2.0</v>
      </c>
      <c r="B74" s="14" t="s">
        <v>796</v>
      </c>
      <c r="C74" s="16" t="s">
        <v>54</v>
      </c>
      <c r="D74" s="16" t="s">
        <v>54</v>
      </c>
      <c r="E74" s="18" t="s">
        <v>41</v>
      </c>
      <c r="F74" s="26"/>
    </row>
    <row r="75">
      <c r="A75" s="33">
        <v>3.0</v>
      </c>
      <c r="B75" s="28" t="s">
        <v>201</v>
      </c>
      <c r="C75" s="16">
        <v>200.0</v>
      </c>
      <c r="D75" s="16">
        <v>200.0</v>
      </c>
      <c r="E75" s="18" t="s">
        <v>41</v>
      </c>
      <c r="F75" s="16"/>
    </row>
    <row r="76">
      <c r="A76" s="13">
        <v>4.0</v>
      </c>
      <c r="B76" s="14" t="s">
        <v>797</v>
      </c>
      <c r="C76" s="16">
        <v>10.0</v>
      </c>
      <c r="D76" s="16">
        <v>10.0</v>
      </c>
      <c r="E76" s="18" t="s">
        <v>48</v>
      </c>
      <c r="F76" s="26"/>
    </row>
    <row r="77">
      <c r="A77" s="33">
        <v>5.0</v>
      </c>
      <c r="B77" s="14" t="s">
        <v>798</v>
      </c>
      <c r="C77" s="16" t="s">
        <v>54</v>
      </c>
      <c r="D77" s="16" t="s">
        <v>54</v>
      </c>
      <c r="E77" s="18" t="s">
        <v>48</v>
      </c>
      <c r="F77" s="26"/>
    </row>
    <row r="78">
      <c r="A78" s="13">
        <v>6.0</v>
      </c>
      <c r="B78" s="14" t="s">
        <v>799</v>
      </c>
      <c r="C78" s="16" t="s">
        <v>54</v>
      </c>
      <c r="D78" s="16" t="s">
        <v>54</v>
      </c>
      <c r="E78" s="18" t="s">
        <v>41</v>
      </c>
      <c r="F78" s="16" t="s">
        <v>209</v>
      </c>
    </row>
    <row r="79">
      <c r="A79" s="33">
        <v>7.0</v>
      </c>
      <c r="B79" s="14" t="s">
        <v>800</v>
      </c>
      <c r="C79" s="16" t="s">
        <v>54</v>
      </c>
      <c r="D79" s="16" t="s">
        <v>54</v>
      </c>
      <c r="E79" s="18" t="s">
        <v>41</v>
      </c>
      <c r="F79" s="26"/>
    </row>
    <row r="80">
      <c r="A80" s="25" t="s">
        <v>801</v>
      </c>
      <c r="B80" s="37" t="s">
        <v>802</v>
      </c>
      <c r="C80" s="39"/>
      <c r="D80" s="39"/>
      <c r="E80" s="39"/>
      <c r="F80" s="39"/>
    </row>
    <row r="81">
      <c r="A81" s="13">
        <v>1.0</v>
      </c>
      <c r="B81" s="14" t="s">
        <v>803</v>
      </c>
      <c r="C81" s="16">
        <v>350.0</v>
      </c>
      <c r="D81" s="16">
        <v>180.0</v>
      </c>
      <c r="E81" s="18" t="s">
        <v>48</v>
      </c>
      <c r="F81" s="16" t="s">
        <v>217</v>
      </c>
    </row>
    <row r="82">
      <c r="A82" s="13">
        <v>2.0</v>
      </c>
      <c r="B82" s="14" t="s">
        <v>804</v>
      </c>
      <c r="C82" s="16">
        <v>50.0</v>
      </c>
      <c r="D82" s="16">
        <v>50.0</v>
      </c>
      <c r="E82" s="18" t="s">
        <v>48</v>
      </c>
      <c r="F82" s="26"/>
    </row>
    <row r="83">
      <c r="A83" s="13">
        <v>3.0</v>
      </c>
      <c r="B83" s="14" t="s">
        <v>805</v>
      </c>
      <c r="C83" s="16">
        <v>20.0</v>
      </c>
      <c r="D83" s="16">
        <v>20.0</v>
      </c>
      <c r="E83" s="18" t="s">
        <v>48</v>
      </c>
      <c r="F83" s="26"/>
    </row>
    <row r="84">
      <c r="A84" s="13">
        <v>5.0</v>
      </c>
      <c r="B84" s="14" t="s">
        <v>806</v>
      </c>
      <c r="C84" s="16">
        <v>5.0</v>
      </c>
      <c r="D84" s="16">
        <v>5.0</v>
      </c>
      <c r="E84" s="18" t="s">
        <v>48</v>
      </c>
      <c r="F84" s="26"/>
    </row>
    <row r="85">
      <c r="A85" s="13">
        <v>6.0</v>
      </c>
      <c r="B85" s="14" t="s">
        <v>807</v>
      </c>
      <c r="C85" s="16">
        <v>230.0</v>
      </c>
      <c r="D85" s="16">
        <v>230.0</v>
      </c>
      <c r="E85" s="18" t="s">
        <v>48</v>
      </c>
      <c r="F85" s="26"/>
    </row>
    <row r="86">
      <c r="A86" s="25" t="s">
        <v>808</v>
      </c>
      <c r="B86" s="37" t="s">
        <v>809</v>
      </c>
      <c r="C86" s="39"/>
      <c r="D86" s="39"/>
      <c r="E86" s="39"/>
      <c r="F86" s="39"/>
    </row>
    <row r="87">
      <c r="A87" s="13">
        <v>1.0</v>
      </c>
      <c r="B87" s="14" t="s">
        <v>810</v>
      </c>
      <c r="C87" s="16" t="s">
        <v>54</v>
      </c>
      <c r="D87" s="16" t="s">
        <v>54</v>
      </c>
      <c r="E87" s="18" t="s">
        <v>41</v>
      </c>
      <c r="F87" s="26"/>
    </row>
    <row r="88">
      <c r="A88" s="13">
        <v>2.0</v>
      </c>
      <c r="B88" s="14" t="s">
        <v>811</v>
      </c>
      <c r="C88" s="16" t="s">
        <v>54</v>
      </c>
      <c r="D88" s="16" t="s">
        <v>54</v>
      </c>
      <c r="E88" s="18" t="s">
        <v>41</v>
      </c>
      <c r="F88" s="26"/>
    </row>
    <row r="89">
      <c r="A89" s="13">
        <v>3.0</v>
      </c>
      <c r="B89" s="14" t="s">
        <v>812</v>
      </c>
      <c r="C89" s="16">
        <v>500.0</v>
      </c>
      <c r="D89" s="16">
        <v>500.0</v>
      </c>
      <c r="E89" s="18" t="s">
        <v>48</v>
      </c>
      <c r="F89" s="26"/>
    </row>
    <row r="90">
      <c r="A90" s="13"/>
      <c r="B90" s="28" t="s">
        <v>249</v>
      </c>
      <c r="C90" s="16">
        <v>1500.0</v>
      </c>
      <c r="D90" s="16">
        <v>1500.0</v>
      </c>
      <c r="E90" s="18" t="s">
        <v>41</v>
      </c>
      <c r="F90" s="26"/>
    </row>
    <row r="91">
      <c r="A91" s="25" t="s">
        <v>813</v>
      </c>
      <c r="B91" s="37" t="s">
        <v>814</v>
      </c>
      <c r="C91" s="39"/>
      <c r="D91" s="39"/>
      <c r="E91" s="39"/>
      <c r="F91" s="39"/>
    </row>
    <row r="92">
      <c r="A92" s="13">
        <v>1.0</v>
      </c>
      <c r="B92" s="14" t="s">
        <v>815</v>
      </c>
      <c r="C92" s="16">
        <v>40.0</v>
      </c>
      <c r="D92" s="16">
        <v>40.0</v>
      </c>
      <c r="E92" s="18" t="s">
        <v>41</v>
      </c>
      <c r="F92" s="26"/>
    </row>
    <row r="93">
      <c r="A93" s="13">
        <v>2.0</v>
      </c>
      <c r="B93" s="14" t="s">
        <v>816</v>
      </c>
      <c r="C93" s="16" t="s">
        <v>54</v>
      </c>
      <c r="D93" s="16" t="s">
        <v>54</v>
      </c>
      <c r="E93" s="18" t="s">
        <v>41</v>
      </c>
      <c r="F93" s="26"/>
    </row>
    <row r="94">
      <c r="A94" s="36" t="s">
        <v>73</v>
      </c>
      <c r="B94" s="12"/>
      <c r="C94" s="58">
        <f>sum(C66:C92)</f>
        <v>4125</v>
      </c>
      <c r="D94" s="26"/>
      <c r="E94" s="26"/>
      <c r="F94" s="26"/>
    </row>
    <row r="95">
      <c r="A95" s="61" t="s">
        <v>817</v>
      </c>
      <c r="B95" s="12"/>
      <c r="C95" s="64">
        <f>SUM(C94+C65+C55+C47)</f>
        <v>10376.86</v>
      </c>
      <c r="D95" s="64"/>
      <c r="E95" s="64"/>
      <c r="F95" s="65"/>
    </row>
    <row r="97">
      <c r="A97" s="1" t="s">
        <v>0</v>
      </c>
    </row>
    <row r="98">
      <c r="A98" s="3" t="s">
        <v>818</v>
      </c>
      <c r="B98" s="3" t="s">
        <v>819</v>
      </c>
      <c r="C98" s="6" t="s">
        <v>820</v>
      </c>
      <c r="D98" s="6" t="s">
        <v>821</v>
      </c>
      <c r="E98" s="3" t="s">
        <v>822</v>
      </c>
      <c r="F98" s="3" t="s">
        <v>823</v>
      </c>
    </row>
    <row r="99">
      <c r="A99" s="8"/>
      <c r="B99" s="8"/>
      <c r="C99" s="6" t="s">
        <v>824</v>
      </c>
      <c r="D99" s="6" t="s">
        <v>825</v>
      </c>
      <c r="E99" s="8"/>
      <c r="F99" s="8"/>
    </row>
    <row r="100">
      <c r="A100" s="19" t="s">
        <v>826</v>
      </c>
      <c r="B100" s="21"/>
      <c r="C100" s="21"/>
      <c r="D100" s="21"/>
      <c r="E100" s="21"/>
      <c r="F100" s="23"/>
    </row>
    <row r="101">
      <c r="A101" s="25" t="s">
        <v>827</v>
      </c>
      <c r="B101" s="27" t="s">
        <v>828</v>
      </c>
      <c r="C101" s="29"/>
      <c r="D101" s="29"/>
      <c r="E101" s="29"/>
      <c r="F101" s="29"/>
    </row>
    <row r="102">
      <c r="A102" s="13">
        <v>1.0</v>
      </c>
      <c r="B102" s="28" t="s">
        <v>57</v>
      </c>
      <c r="C102" s="32">
        <v>600.0</v>
      </c>
      <c r="D102" s="32">
        <v>600.0</v>
      </c>
      <c r="E102" s="18" t="s">
        <v>48</v>
      </c>
      <c r="F102" s="35"/>
    </row>
    <row r="103">
      <c r="A103" s="13">
        <v>2.0</v>
      </c>
      <c r="B103" s="14" t="s">
        <v>829</v>
      </c>
      <c r="C103" s="16">
        <v>100.0</v>
      </c>
      <c r="D103" s="16" t="s">
        <v>54</v>
      </c>
      <c r="E103" s="18" t="s">
        <v>41</v>
      </c>
      <c r="F103" s="16" t="s">
        <v>72</v>
      </c>
    </row>
    <row r="104">
      <c r="A104" s="13">
        <v>3.0</v>
      </c>
      <c r="B104" s="14" t="s">
        <v>830</v>
      </c>
      <c r="C104" s="16">
        <v>20.0</v>
      </c>
      <c r="D104" s="16">
        <v>12.5</v>
      </c>
      <c r="E104" s="18" t="s">
        <v>41</v>
      </c>
      <c r="F104" s="16" t="s">
        <v>43</v>
      </c>
    </row>
    <row r="105">
      <c r="A105" s="13">
        <v>4.0</v>
      </c>
      <c r="B105" s="14" t="s">
        <v>831</v>
      </c>
      <c r="C105" s="16" t="s">
        <v>54</v>
      </c>
      <c r="D105" s="16" t="s">
        <v>54</v>
      </c>
      <c r="E105" s="18" t="s">
        <v>48</v>
      </c>
      <c r="F105" s="26"/>
    </row>
    <row r="106">
      <c r="A106" s="13">
        <v>5.0</v>
      </c>
      <c r="B106" s="28" t="s">
        <v>82</v>
      </c>
      <c r="C106" s="16">
        <v>50.0</v>
      </c>
      <c r="D106" s="16">
        <v>50.0</v>
      </c>
      <c r="E106" s="18" t="s">
        <v>48</v>
      </c>
      <c r="F106" s="26"/>
    </row>
    <row r="107">
      <c r="A107" s="13">
        <v>6.0</v>
      </c>
      <c r="B107" s="28" t="s">
        <v>87</v>
      </c>
      <c r="C107" s="16">
        <v>80.0</v>
      </c>
      <c r="D107" s="16">
        <v>80.0</v>
      </c>
      <c r="E107" s="18" t="s">
        <v>48</v>
      </c>
      <c r="F107" s="26"/>
    </row>
    <row r="108">
      <c r="A108" s="13"/>
      <c r="B108" s="28" t="s">
        <v>99</v>
      </c>
      <c r="C108" s="16" t="s">
        <v>54</v>
      </c>
      <c r="D108" s="16" t="s">
        <v>54</v>
      </c>
      <c r="E108" s="18" t="s">
        <v>41</v>
      </c>
      <c r="F108" s="26"/>
    </row>
    <row r="109">
      <c r="A109" s="25" t="s">
        <v>832</v>
      </c>
      <c r="B109" s="37" t="s">
        <v>833</v>
      </c>
      <c r="C109" s="39"/>
      <c r="D109" s="39"/>
      <c r="E109" s="39"/>
      <c r="F109" s="39"/>
    </row>
    <row r="110">
      <c r="A110" s="13">
        <v>1.0</v>
      </c>
      <c r="B110" s="14" t="s">
        <v>834</v>
      </c>
      <c r="C110" s="16">
        <v>650.0</v>
      </c>
      <c r="D110" s="16">
        <v>700.0</v>
      </c>
      <c r="E110" s="18" t="s">
        <v>48</v>
      </c>
      <c r="F110" s="16" t="s">
        <v>100</v>
      </c>
    </row>
    <row r="111">
      <c r="A111" s="13">
        <v>2.0</v>
      </c>
      <c r="B111" s="14" t="s">
        <v>835</v>
      </c>
      <c r="C111" s="16" t="s">
        <v>54</v>
      </c>
      <c r="D111" s="16" t="s">
        <v>54</v>
      </c>
      <c r="E111" s="18" t="s">
        <v>41</v>
      </c>
      <c r="F111" s="26"/>
    </row>
    <row r="112">
      <c r="A112" s="33">
        <v>3.0</v>
      </c>
      <c r="B112" s="28" t="s">
        <v>107</v>
      </c>
      <c r="C112" s="16">
        <v>250.0</v>
      </c>
      <c r="D112" s="16">
        <v>200.0</v>
      </c>
      <c r="E112" s="18" t="s">
        <v>41</v>
      </c>
      <c r="F112" s="16" t="s">
        <v>124</v>
      </c>
    </row>
    <row r="113">
      <c r="A113" s="25" t="s">
        <v>836</v>
      </c>
      <c r="B113" s="37" t="s">
        <v>837</v>
      </c>
      <c r="C113" s="39"/>
      <c r="D113" s="39"/>
      <c r="E113" s="39"/>
      <c r="F113" s="39"/>
    </row>
    <row r="114">
      <c r="A114" s="13">
        <v>1.0</v>
      </c>
      <c r="B114" s="14" t="s">
        <v>838</v>
      </c>
      <c r="C114" s="16">
        <v>650.0</v>
      </c>
      <c r="D114" s="16">
        <v>700.0</v>
      </c>
      <c r="E114" s="18" t="s">
        <v>48</v>
      </c>
      <c r="F114" s="16" t="s">
        <v>100</v>
      </c>
    </row>
    <row r="115">
      <c r="A115" s="33">
        <v>2.0</v>
      </c>
      <c r="B115" s="28" t="s">
        <v>144</v>
      </c>
      <c r="C115" s="16">
        <v>200.0</v>
      </c>
      <c r="D115" s="26"/>
      <c r="E115" s="18" t="s">
        <v>48</v>
      </c>
      <c r="F115" s="26"/>
    </row>
    <row r="116">
      <c r="A116" s="13">
        <v>3.0</v>
      </c>
      <c r="B116" s="28" t="s">
        <v>122</v>
      </c>
      <c r="C116" s="16" t="s">
        <v>54</v>
      </c>
      <c r="D116" s="16" t="s">
        <v>54</v>
      </c>
      <c r="E116" s="18" t="s">
        <v>48</v>
      </c>
      <c r="F116" s="26"/>
    </row>
    <row r="117">
      <c r="A117" s="33">
        <v>4.0</v>
      </c>
      <c r="B117" s="14" t="s">
        <v>839</v>
      </c>
      <c r="C117" s="16">
        <v>50.0</v>
      </c>
      <c r="D117" s="16" t="s">
        <v>54</v>
      </c>
      <c r="E117" s="18" t="s">
        <v>41</v>
      </c>
      <c r="F117" s="16" t="s">
        <v>72</v>
      </c>
    </row>
    <row r="118">
      <c r="A118" s="13">
        <v>5.0</v>
      </c>
      <c r="B118" s="14" t="s">
        <v>840</v>
      </c>
      <c r="C118" s="16" t="s">
        <v>54</v>
      </c>
      <c r="D118" s="16" t="s">
        <v>54</v>
      </c>
      <c r="E118" s="18" t="s">
        <v>41</v>
      </c>
      <c r="F118" s="16" t="s">
        <v>72</v>
      </c>
    </row>
    <row r="119">
      <c r="A119" s="33">
        <v>6.0</v>
      </c>
      <c r="B119" s="14" t="s">
        <v>841</v>
      </c>
      <c r="C119" s="16">
        <v>30.0</v>
      </c>
      <c r="D119" s="16" t="s">
        <v>54</v>
      </c>
      <c r="E119" s="18" t="s">
        <v>41</v>
      </c>
      <c r="F119" s="16" t="s">
        <v>72</v>
      </c>
    </row>
    <row r="120">
      <c r="A120" s="13">
        <v>7.0</v>
      </c>
      <c r="B120" s="14" t="s">
        <v>842</v>
      </c>
      <c r="C120" s="16">
        <v>20.0</v>
      </c>
      <c r="D120" s="16">
        <v>20.0</v>
      </c>
      <c r="E120" s="18" t="s">
        <v>48</v>
      </c>
      <c r="F120" s="26"/>
    </row>
    <row r="121">
      <c r="A121" s="25" t="s">
        <v>843</v>
      </c>
      <c r="B121" s="37" t="s">
        <v>844</v>
      </c>
      <c r="C121" s="39"/>
      <c r="D121" s="39"/>
      <c r="E121" s="39"/>
      <c r="F121" s="39"/>
    </row>
    <row r="122">
      <c r="A122" s="13">
        <v>1.0</v>
      </c>
      <c r="B122" s="14" t="s">
        <v>845</v>
      </c>
      <c r="C122" s="16">
        <v>200.0</v>
      </c>
      <c r="D122" s="16">
        <v>200.0</v>
      </c>
      <c r="E122" s="18" t="s">
        <v>48</v>
      </c>
      <c r="F122" s="26"/>
    </row>
    <row r="123">
      <c r="A123" s="13">
        <v>2.0</v>
      </c>
      <c r="B123" s="28" t="s">
        <v>186</v>
      </c>
      <c r="C123" s="16">
        <v>3600.0</v>
      </c>
      <c r="D123" s="16">
        <v>3600.0</v>
      </c>
      <c r="E123" s="18" t="s">
        <v>48</v>
      </c>
      <c r="F123" s="26"/>
    </row>
    <row r="124">
      <c r="A124" s="13">
        <v>3.0</v>
      </c>
      <c r="B124" s="28" t="s">
        <v>180</v>
      </c>
      <c r="C124" s="16" t="s">
        <v>54</v>
      </c>
      <c r="D124" s="16" t="s">
        <v>54</v>
      </c>
      <c r="E124" s="18" t="s">
        <v>48</v>
      </c>
      <c r="F124" s="26"/>
    </row>
    <row r="125">
      <c r="A125" s="13">
        <v>4.0</v>
      </c>
      <c r="B125" s="28" t="s">
        <v>183</v>
      </c>
      <c r="C125" s="16">
        <v>30.0</v>
      </c>
      <c r="D125" s="16">
        <v>30.0</v>
      </c>
      <c r="E125" s="18" t="s">
        <v>48</v>
      </c>
      <c r="F125" s="26"/>
    </row>
    <row r="126">
      <c r="A126" s="13">
        <v>5.0</v>
      </c>
      <c r="B126" s="14" t="s">
        <v>846</v>
      </c>
      <c r="C126" s="16" t="s">
        <v>54</v>
      </c>
      <c r="D126" s="16" t="s">
        <v>54</v>
      </c>
      <c r="E126" s="18" t="s">
        <v>41</v>
      </c>
      <c r="F126" s="26"/>
    </row>
    <row r="127">
      <c r="A127" s="13">
        <v>6.0</v>
      </c>
      <c r="B127" s="14" t="s">
        <v>847</v>
      </c>
      <c r="C127" s="16" t="s">
        <v>54</v>
      </c>
      <c r="D127" s="16" t="s">
        <v>54</v>
      </c>
      <c r="E127" s="18" t="s">
        <v>41</v>
      </c>
      <c r="F127" s="26"/>
    </row>
    <row r="128">
      <c r="A128" s="13">
        <v>7.0</v>
      </c>
      <c r="B128" s="14" t="s">
        <v>848</v>
      </c>
      <c r="C128" s="16" t="s">
        <v>54</v>
      </c>
      <c r="D128" s="16" t="s">
        <v>54</v>
      </c>
      <c r="E128" s="18" t="s">
        <v>41</v>
      </c>
      <c r="F128" s="26"/>
    </row>
    <row r="129">
      <c r="A129" s="13">
        <v>8.0</v>
      </c>
      <c r="B129" s="14" t="s">
        <v>849</v>
      </c>
      <c r="C129" s="16" t="s">
        <v>54</v>
      </c>
      <c r="D129" s="16" t="s">
        <v>54</v>
      </c>
      <c r="E129" s="18" t="s">
        <v>41</v>
      </c>
      <c r="F129" s="26"/>
    </row>
    <row r="130">
      <c r="A130" s="13">
        <v>9.0</v>
      </c>
      <c r="B130" s="14" t="s">
        <v>850</v>
      </c>
      <c r="C130" s="16">
        <v>50.0</v>
      </c>
      <c r="D130" s="16">
        <v>50.0</v>
      </c>
      <c r="E130" s="18" t="s">
        <v>48</v>
      </c>
      <c r="F130" s="26"/>
    </row>
    <row r="131">
      <c r="A131" s="13">
        <v>10.0</v>
      </c>
      <c r="B131" s="14" t="s">
        <v>851</v>
      </c>
      <c r="C131" s="16" t="s">
        <v>54</v>
      </c>
      <c r="D131" s="16" t="s">
        <v>54</v>
      </c>
      <c r="E131" s="18" t="s">
        <v>41</v>
      </c>
      <c r="F131" s="26"/>
    </row>
    <row r="132">
      <c r="A132" s="13">
        <v>11.0</v>
      </c>
      <c r="B132" s="14" t="s">
        <v>852</v>
      </c>
      <c r="C132" s="16" t="s">
        <v>54</v>
      </c>
      <c r="D132" s="16" t="s">
        <v>54</v>
      </c>
      <c r="E132" s="18" t="s">
        <v>48</v>
      </c>
      <c r="F132" s="26"/>
    </row>
    <row r="133">
      <c r="A133" s="13">
        <v>12.0</v>
      </c>
      <c r="B133" s="14" t="s">
        <v>853</v>
      </c>
      <c r="C133" s="16" t="s">
        <v>54</v>
      </c>
      <c r="D133" s="16" t="s">
        <v>54</v>
      </c>
      <c r="E133" s="18" t="s">
        <v>48</v>
      </c>
      <c r="F133" s="26"/>
    </row>
    <row r="134">
      <c r="A134" s="13">
        <v>13.0</v>
      </c>
      <c r="B134" s="14" t="s">
        <v>854</v>
      </c>
      <c r="C134" s="16">
        <v>700.0</v>
      </c>
      <c r="D134" s="16">
        <v>700.0</v>
      </c>
      <c r="E134" s="18" t="s">
        <v>48</v>
      </c>
      <c r="F134" s="26"/>
    </row>
    <row r="135">
      <c r="A135" s="13">
        <v>14.0</v>
      </c>
      <c r="B135" s="14" t="s">
        <v>855</v>
      </c>
      <c r="C135" s="16" t="s">
        <v>54</v>
      </c>
      <c r="D135" s="16" t="s">
        <v>54</v>
      </c>
      <c r="E135" s="18" t="s">
        <v>48</v>
      </c>
      <c r="F135" s="26"/>
    </row>
    <row r="136">
      <c r="A136" s="13">
        <v>15.0</v>
      </c>
      <c r="B136" s="14" t="s">
        <v>856</v>
      </c>
      <c r="C136" s="16">
        <v>500.0</v>
      </c>
      <c r="D136" s="16">
        <v>500.0</v>
      </c>
      <c r="E136" s="18" t="s">
        <v>48</v>
      </c>
      <c r="F136" s="26"/>
    </row>
    <row r="137">
      <c r="A137" s="13">
        <v>16.0</v>
      </c>
      <c r="B137" s="28" t="s">
        <v>235</v>
      </c>
      <c r="C137" s="16">
        <v>300.0</v>
      </c>
      <c r="D137" s="16">
        <v>300.0</v>
      </c>
      <c r="E137" s="18" t="s">
        <v>48</v>
      </c>
      <c r="F137" s="26"/>
    </row>
    <row r="138">
      <c r="A138" s="13">
        <v>17.0</v>
      </c>
      <c r="B138" s="28" t="s">
        <v>237</v>
      </c>
      <c r="C138" s="16">
        <v>1000.0</v>
      </c>
      <c r="D138" s="16">
        <v>1000.0</v>
      </c>
      <c r="E138" s="18" t="s">
        <v>48</v>
      </c>
      <c r="F138" s="26"/>
    </row>
    <row r="139">
      <c r="A139" s="25" t="s">
        <v>857</v>
      </c>
      <c r="B139" s="37" t="s">
        <v>858</v>
      </c>
      <c r="C139" s="39"/>
      <c r="D139" s="39"/>
      <c r="E139" s="39"/>
      <c r="F139" s="39"/>
    </row>
    <row r="140">
      <c r="A140" s="13">
        <v>1.0</v>
      </c>
      <c r="B140" s="14" t="s">
        <v>859</v>
      </c>
      <c r="C140" s="16" t="s">
        <v>54</v>
      </c>
      <c r="D140" s="16" t="s">
        <v>54</v>
      </c>
      <c r="E140" s="18" t="s">
        <v>48</v>
      </c>
      <c r="F140" s="26"/>
    </row>
    <row r="141">
      <c r="A141" s="13">
        <v>2.0</v>
      </c>
      <c r="B141" s="14" t="s">
        <v>860</v>
      </c>
      <c r="C141" s="16">
        <v>1500.0</v>
      </c>
      <c r="D141" s="16">
        <v>1500.0</v>
      </c>
      <c r="E141" s="18" t="s">
        <v>48</v>
      </c>
      <c r="F141" s="26"/>
    </row>
    <row r="142">
      <c r="A142" s="13">
        <v>3.0</v>
      </c>
      <c r="B142" s="14" t="s">
        <v>861</v>
      </c>
      <c r="C142" s="16">
        <v>10000.0</v>
      </c>
      <c r="D142" s="16">
        <v>10000.0</v>
      </c>
      <c r="E142" s="18" t="s">
        <v>48</v>
      </c>
      <c r="F142" s="26"/>
    </row>
    <row r="143">
      <c r="A143" s="13">
        <v>4.0</v>
      </c>
      <c r="B143" s="28" t="s">
        <v>257</v>
      </c>
      <c r="C143" s="16">
        <v>500.0</v>
      </c>
      <c r="D143" s="16">
        <v>500.0</v>
      </c>
      <c r="E143" s="18" t="s">
        <v>48</v>
      </c>
      <c r="F143" s="26"/>
    </row>
    <row r="144">
      <c r="A144" s="13">
        <v>5.0</v>
      </c>
      <c r="B144" s="28" t="s">
        <v>262</v>
      </c>
      <c r="C144" s="16">
        <v>500.0</v>
      </c>
      <c r="D144" s="16">
        <v>500.0</v>
      </c>
      <c r="E144" s="18" t="s">
        <v>48</v>
      </c>
      <c r="F144" s="26"/>
    </row>
    <row r="145">
      <c r="A145" s="13">
        <v>6.0</v>
      </c>
      <c r="B145" s="28" t="s">
        <v>264</v>
      </c>
      <c r="C145" s="16">
        <v>500.0</v>
      </c>
      <c r="D145" s="16">
        <v>500.0</v>
      </c>
      <c r="E145" s="18" t="s">
        <v>48</v>
      </c>
      <c r="F145" s="26"/>
    </row>
    <row r="146">
      <c r="A146" s="13">
        <v>7.0</v>
      </c>
      <c r="B146" s="28" t="s">
        <v>271</v>
      </c>
      <c r="C146" s="16">
        <v>500.0</v>
      </c>
      <c r="D146" s="16">
        <v>500.0</v>
      </c>
      <c r="E146" s="18" t="s">
        <v>48</v>
      </c>
      <c r="F146" s="26"/>
    </row>
    <row r="147">
      <c r="A147" s="13">
        <v>8.0</v>
      </c>
      <c r="B147" s="28" t="s">
        <v>273</v>
      </c>
      <c r="C147" s="16">
        <v>200.0</v>
      </c>
      <c r="D147" s="16">
        <v>200.0</v>
      </c>
      <c r="E147" s="18" t="s">
        <v>48</v>
      </c>
      <c r="F147" s="26"/>
    </row>
    <row r="148">
      <c r="A148" s="13">
        <v>9.0</v>
      </c>
      <c r="B148" s="14" t="s">
        <v>862</v>
      </c>
      <c r="C148" s="16">
        <v>200.0</v>
      </c>
      <c r="D148" s="16">
        <v>200.0</v>
      </c>
      <c r="E148" s="18" t="s">
        <v>48</v>
      </c>
      <c r="F148" s="26"/>
    </row>
    <row r="149">
      <c r="A149" s="25" t="s">
        <v>863</v>
      </c>
      <c r="B149" s="37" t="s">
        <v>864</v>
      </c>
      <c r="C149" s="60"/>
      <c r="D149" s="60"/>
      <c r="E149" s="39"/>
      <c r="F149" s="39"/>
    </row>
    <row r="150">
      <c r="A150" s="13">
        <v>1.0</v>
      </c>
      <c r="B150" s="62" t="s">
        <v>249</v>
      </c>
      <c r="C150" s="63">
        <v>1450.0</v>
      </c>
      <c r="D150" s="63">
        <v>1450.0</v>
      </c>
      <c r="E150" s="18" t="s">
        <v>41</v>
      </c>
      <c r="F150" s="26"/>
    </row>
    <row r="151">
      <c r="A151" s="13">
        <v>2.0</v>
      </c>
      <c r="B151" s="62" t="s">
        <v>281</v>
      </c>
      <c r="C151" s="63">
        <v>200.0</v>
      </c>
      <c r="D151" s="63">
        <v>200.0</v>
      </c>
      <c r="E151" s="18" t="s">
        <v>48</v>
      </c>
      <c r="F151" s="26"/>
    </row>
    <row r="152">
      <c r="A152" s="13">
        <v>3.0</v>
      </c>
      <c r="B152" s="14" t="s">
        <v>865</v>
      </c>
      <c r="C152" s="67" t="s">
        <v>54</v>
      </c>
      <c r="D152" s="67" t="s">
        <v>54</v>
      </c>
      <c r="E152" s="18" t="s">
        <v>48</v>
      </c>
      <c r="F152" s="26"/>
    </row>
    <row r="153">
      <c r="A153" s="25" t="s">
        <v>866</v>
      </c>
      <c r="B153" s="37" t="s">
        <v>867</v>
      </c>
      <c r="C153" s="39"/>
      <c r="D153" s="39"/>
      <c r="E153" s="39"/>
      <c r="F153" s="39"/>
    </row>
    <row r="154">
      <c r="A154" s="13">
        <v>1.0</v>
      </c>
      <c r="B154" s="14" t="s">
        <v>868</v>
      </c>
      <c r="C154" s="16" t="s">
        <v>294</v>
      </c>
      <c r="D154" s="16" t="s">
        <v>295</v>
      </c>
      <c r="E154" s="18" t="s">
        <v>48</v>
      </c>
      <c r="F154" s="26"/>
    </row>
    <row r="155">
      <c r="A155" s="13">
        <v>2.0</v>
      </c>
      <c r="B155" s="14" t="s">
        <v>869</v>
      </c>
      <c r="C155" s="16" t="s">
        <v>54</v>
      </c>
      <c r="D155" s="16" t="s">
        <v>54</v>
      </c>
      <c r="E155" s="18" t="s">
        <v>48</v>
      </c>
      <c r="F155" s="26"/>
    </row>
    <row r="156">
      <c r="A156" s="13">
        <v>3.0</v>
      </c>
      <c r="B156" s="14" t="s">
        <v>870</v>
      </c>
      <c r="C156" s="16" t="s">
        <v>304</v>
      </c>
      <c r="D156" s="16" t="s">
        <v>54</v>
      </c>
      <c r="E156" s="18" t="s">
        <v>48</v>
      </c>
      <c r="F156" s="26"/>
    </row>
    <row r="157">
      <c r="A157" s="13">
        <v>4.0</v>
      </c>
      <c r="B157" s="73" t="s">
        <v>871</v>
      </c>
      <c r="C157" s="74"/>
      <c r="D157" s="74"/>
      <c r="E157" s="18" t="s">
        <v>48</v>
      </c>
      <c r="F157" s="74"/>
    </row>
    <row r="158">
      <c r="A158" s="13">
        <v>5.0</v>
      </c>
      <c r="B158" s="28" t="s">
        <v>313</v>
      </c>
      <c r="C158" s="16">
        <v>600.0</v>
      </c>
      <c r="D158" s="16">
        <v>600.0</v>
      </c>
      <c r="E158" s="18" t="s">
        <v>48</v>
      </c>
      <c r="F158" s="26"/>
    </row>
    <row r="159">
      <c r="A159" s="13">
        <v>6.0</v>
      </c>
      <c r="B159" s="14" t="s">
        <v>872</v>
      </c>
      <c r="C159" s="16" t="s">
        <v>54</v>
      </c>
      <c r="D159" s="16" t="s">
        <v>54</v>
      </c>
      <c r="E159" s="18" t="s">
        <v>48</v>
      </c>
      <c r="F159" s="26"/>
    </row>
    <row r="160">
      <c r="A160" s="13">
        <v>7.0</v>
      </c>
      <c r="B160" s="14" t="s">
        <v>873</v>
      </c>
      <c r="C160" s="16">
        <v>50.0</v>
      </c>
      <c r="D160" s="16">
        <v>50.0</v>
      </c>
      <c r="E160" s="18" t="s">
        <v>48</v>
      </c>
      <c r="F160" s="26"/>
    </row>
    <row r="161">
      <c r="A161" s="61" t="s">
        <v>874</v>
      </c>
      <c r="B161" s="12"/>
      <c r="C161" s="64">
        <f t="shared" ref="C161:D161" si="11">SUM(C98:C160)</f>
        <v>25280</v>
      </c>
      <c r="D161" s="64">
        <f t="shared" si="11"/>
        <v>24942.5</v>
      </c>
      <c r="E161" s="64"/>
      <c r="F161" s="26"/>
    </row>
    <row r="163">
      <c r="A163" s="1" t="s">
        <v>1</v>
      </c>
    </row>
    <row r="164">
      <c r="A164" s="3" t="s">
        <v>875</v>
      </c>
      <c r="B164" s="3" t="s">
        <v>876</v>
      </c>
      <c r="C164" s="6" t="s">
        <v>877</v>
      </c>
      <c r="D164" s="6" t="s">
        <v>878</v>
      </c>
      <c r="E164" s="3" t="s">
        <v>879</v>
      </c>
      <c r="F164" s="3" t="s">
        <v>880</v>
      </c>
    </row>
    <row r="165">
      <c r="A165" s="8"/>
      <c r="B165" s="8"/>
      <c r="C165" s="6" t="s">
        <v>881</v>
      </c>
      <c r="D165" s="6" t="s">
        <v>882</v>
      </c>
      <c r="E165" s="8"/>
      <c r="F165" s="8"/>
    </row>
    <row r="166">
      <c r="A166" s="19" t="s">
        <v>883</v>
      </c>
      <c r="B166" s="21"/>
      <c r="C166" s="21"/>
      <c r="D166" s="21"/>
      <c r="E166" s="21"/>
      <c r="F166" s="23"/>
    </row>
    <row r="167">
      <c r="A167" s="25" t="s">
        <v>884</v>
      </c>
      <c r="B167" s="27" t="s">
        <v>885</v>
      </c>
      <c r="C167" s="29"/>
      <c r="D167" s="29"/>
      <c r="E167" s="29"/>
      <c r="F167" s="29"/>
    </row>
    <row r="168">
      <c r="A168" s="13">
        <v>1.0</v>
      </c>
      <c r="B168" s="28" t="s">
        <v>57</v>
      </c>
      <c r="C168" s="32">
        <v>600.0</v>
      </c>
      <c r="D168" s="32">
        <v>600.0</v>
      </c>
      <c r="E168" s="18" t="s">
        <v>48</v>
      </c>
      <c r="F168" s="35"/>
    </row>
    <row r="169">
      <c r="A169" s="13">
        <v>2.0</v>
      </c>
      <c r="B169" s="14" t="s">
        <v>886</v>
      </c>
      <c r="C169" s="16">
        <v>50.0</v>
      </c>
      <c r="D169" s="16" t="s">
        <v>54</v>
      </c>
      <c r="E169" s="18" t="s">
        <v>41</v>
      </c>
      <c r="F169" s="16" t="s">
        <v>72</v>
      </c>
    </row>
    <row r="170">
      <c r="A170" s="13">
        <v>3.0</v>
      </c>
      <c r="B170" s="14" t="s">
        <v>887</v>
      </c>
      <c r="C170" s="16" t="s">
        <v>54</v>
      </c>
      <c r="D170" s="16" t="s">
        <v>54</v>
      </c>
      <c r="E170" s="18" t="s">
        <v>41</v>
      </c>
      <c r="F170" s="16" t="s">
        <v>76</v>
      </c>
    </row>
    <row r="171">
      <c r="A171" s="13">
        <v>4.0</v>
      </c>
      <c r="B171" s="14" t="s">
        <v>888</v>
      </c>
      <c r="C171" s="16" t="s">
        <v>54</v>
      </c>
      <c r="D171" s="16" t="s">
        <v>54</v>
      </c>
      <c r="E171" s="18" t="s">
        <v>41</v>
      </c>
      <c r="F171" s="26"/>
    </row>
    <row r="172">
      <c r="A172" s="13">
        <v>5.0</v>
      </c>
      <c r="B172" s="28" t="s">
        <v>82</v>
      </c>
      <c r="C172" s="16">
        <v>50.0</v>
      </c>
      <c r="D172" s="16" t="s">
        <v>54</v>
      </c>
      <c r="E172" s="18" t="s">
        <v>41</v>
      </c>
      <c r="F172" s="16" t="s">
        <v>86</v>
      </c>
    </row>
    <row r="173">
      <c r="A173" s="13">
        <v>6.0</v>
      </c>
      <c r="B173" s="28" t="s">
        <v>87</v>
      </c>
      <c r="C173" s="16">
        <v>80.0</v>
      </c>
      <c r="D173" s="16" t="s">
        <v>54</v>
      </c>
      <c r="E173" s="18" t="s">
        <v>41</v>
      </c>
      <c r="F173" s="16" t="s">
        <v>86</v>
      </c>
    </row>
    <row r="174">
      <c r="A174" s="25" t="s">
        <v>889</v>
      </c>
      <c r="B174" s="37" t="s">
        <v>890</v>
      </c>
      <c r="C174" s="39"/>
      <c r="D174" s="39"/>
      <c r="E174" s="39"/>
      <c r="F174" s="39"/>
    </row>
    <row r="175">
      <c r="A175" s="13">
        <v>1.0</v>
      </c>
      <c r="B175" s="14" t="s">
        <v>891</v>
      </c>
      <c r="C175" s="16">
        <v>650.0</v>
      </c>
      <c r="D175" s="16">
        <v>450.0</v>
      </c>
      <c r="E175" s="18" t="s">
        <v>48</v>
      </c>
      <c r="F175" s="16" t="s">
        <v>100</v>
      </c>
    </row>
    <row r="176">
      <c r="A176" s="13">
        <v>2.0</v>
      </c>
      <c r="B176" s="14" t="s">
        <v>892</v>
      </c>
      <c r="C176" s="16" t="s">
        <v>54</v>
      </c>
      <c r="D176" s="16" t="s">
        <v>54</v>
      </c>
      <c r="E176" s="18" t="s">
        <v>41</v>
      </c>
      <c r="F176" s="16" t="s">
        <v>104</v>
      </c>
    </row>
    <row r="177">
      <c r="A177" s="33">
        <v>3.0</v>
      </c>
      <c r="B177" s="28" t="s">
        <v>107</v>
      </c>
      <c r="C177" s="16">
        <v>250.0</v>
      </c>
      <c r="D177" s="16">
        <v>200.0</v>
      </c>
      <c r="E177" s="18" t="s">
        <v>41</v>
      </c>
      <c r="F177" s="16" t="s">
        <v>109</v>
      </c>
    </row>
    <row r="178">
      <c r="A178" s="25" t="s">
        <v>893</v>
      </c>
      <c r="B178" s="37" t="s">
        <v>894</v>
      </c>
      <c r="C178" s="39"/>
      <c r="D178" s="39"/>
      <c r="E178" s="39"/>
      <c r="F178" s="39"/>
    </row>
    <row r="179">
      <c r="A179" s="13">
        <v>1.0</v>
      </c>
      <c r="B179" s="14" t="s">
        <v>895</v>
      </c>
      <c r="C179" s="16">
        <v>650.0</v>
      </c>
      <c r="D179" s="16">
        <v>450.0</v>
      </c>
      <c r="E179" s="18" t="s">
        <v>48</v>
      </c>
      <c r="F179" s="16" t="s">
        <v>100</v>
      </c>
    </row>
    <row r="180">
      <c r="A180" s="33">
        <v>2.0</v>
      </c>
      <c r="B180" s="28" t="s">
        <v>120</v>
      </c>
      <c r="C180" s="16">
        <v>200.0</v>
      </c>
      <c r="D180" s="16">
        <v>200.0</v>
      </c>
      <c r="E180" s="18" t="s">
        <v>48</v>
      </c>
      <c r="F180" s="26"/>
    </row>
    <row r="181">
      <c r="A181" s="13">
        <v>3.0</v>
      </c>
      <c r="B181" s="28" t="s">
        <v>122</v>
      </c>
      <c r="C181" s="16" t="s">
        <v>54</v>
      </c>
      <c r="D181" s="16" t="s">
        <v>54</v>
      </c>
      <c r="E181" s="18" t="s">
        <v>48</v>
      </c>
      <c r="F181" s="26"/>
    </row>
    <row r="182">
      <c r="A182" s="33">
        <v>4.0</v>
      </c>
      <c r="B182" s="14" t="s">
        <v>896</v>
      </c>
      <c r="C182" s="16">
        <v>50.0</v>
      </c>
      <c r="D182" s="16" t="s">
        <v>54</v>
      </c>
      <c r="E182" s="18" t="s">
        <v>41</v>
      </c>
      <c r="F182" s="16" t="s">
        <v>72</v>
      </c>
    </row>
    <row r="183">
      <c r="A183" s="13">
        <v>5.0</v>
      </c>
      <c r="B183" s="14" t="s">
        <v>897</v>
      </c>
      <c r="C183" s="16" t="s">
        <v>54</v>
      </c>
      <c r="D183" s="16" t="s">
        <v>54</v>
      </c>
      <c r="E183" s="18" t="s">
        <v>41</v>
      </c>
      <c r="F183" s="16" t="s">
        <v>72</v>
      </c>
    </row>
    <row r="184">
      <c r="A184" s="33">
        <v>6.0</v>
      </c>
      <c r="B184" s="14" t="s">
        <v>898</v>
      </c>
      <c r="C184" s="16">
        <v>230.0</v>
      </c>
      <c r="D184" s="16" t="s">
        <v>54</v>
      </c>
      <c r="E184" s="18" t="s">
        <v>41</v>
      </c>
      <c r="F184" s="16" t="s">
        <v>72</v>
      </c>
    </row>
    <row r="185">
      <c r="A185" s="13">
        <v>7.0</v>
      </c>
      <c r="B185" s="14" t="s">
        <v>899</v>
      </c>
      <c r="C185" s="16">
        <v>20.0</v>
      </c>
      <c r="D185" s="16">
        <v>20.0</v>
      </c>
      <c r="E185" s="18" t="s">
        <v>48</v>
      </c>
      <c r="F185" s="26"/>
    </row>
    <row r="186">
      <c r="A186" s="25" t="s">
        <v>900</v>
      </c>
      <c r="B186" s="37" t="s">
        <v>901</v>
      </c>
      <c r="C186" s="39"/>
      <c r="D186" s="39"/>
      <c r="E186" s="39"/>
      <c r="F186" s="39"/>
    </row>
    <row r="187">
      <c r="A187" s="13">
        <v>1.0</v>
      </c>
      <c r="B187" s="14" t="s">
        <v>902</v>
      </c>
      <c r="C187" s="16" t="s">
        <v>54</v>
      </c>
      <c r="D187" s="16" t="s">
        <v>54</v>
      </c>
      <c r="E187" s="18" t="s">
        <v>41</v>
      </c>
      <c r="F187" s="26"/>
    </row>
    <row r="188">
      <c r="A188" s="13">
        <v>2.0</v>
      </c>
      <c r="B188" s="14" t="s">
        <v>903</v>
      </c>
      <c r="C188" s="26"/>
      <c r="D188" s="26"/>
      <c r="E188" s="18" t="s">
        <v>41</v>
      </c>
      <c r="F188" s="26"/>
    </row>
    <row r="189">
      <c r="A189" s="13">
        <v>3.0</v>
      </c>
      <c r="B189" s="28" t="s">
        <v>180</v>
      </c>
      <c r="C189" s="16" t="s">
        <v>54</v>
      </c>
      <c r="D189" s="16" t="s">
        <v>54</v>
      </c>
      <c r="E189" s="18" t="s">
        <v>41</v>
      </c>
      <c r="F189" s="26"/>
    </row>
    <row r="190">
      <c r="A190" s="13">
        <v>4.0</v>
      </c>
      <c r="B190" s="28" t="s">
        <v>183</v>
      </c>
      <c r="C190" s="16">
        <v>30.0</v>
      </c>
      <c r="D190" s="16">
        <v>30.0</v>
      </c>
      <c r="E190" s="18" t="s">
        <v>48</v>
      </c>
      <c r="F190" s="26"/>
    </row>
    <row r="191">
      <c r="A191" s="13">
        <v>5.0</v>
      </c>
      <c r="B191" s="28" t="s">
        <v>188</v>
      </c>
      <c r="C191" s="56">
        <v>22999.0</v>
      </c>
      <c r="D191" s="56">
        <v>22999.0</v>
      </c>
      <c r="E191" s="18" t="s">
        <v>48</v>
      </c>
      <c r="F191" s="26"/>
    </row>
    <row r="192">
      <c r="A192" s="13">
        <v>6.0</v>
      </c>
      <c r="B192" s="14" t="s">
        <v>904</v>
      </c>
      <c r="C192" s="16" t="s">
        <v>54</v>
      </c>
      <c r="D192" s="16" t="s">
        <v>54</v>
      </c>
      <c r="E192" s="18" t="s">
        <v>41</v>
      </c>
      <c r="F192" s="26"/>
    </row>
    <row r="193">
      <c r="A193" s="13">
        <v>7.0</v>
      </c>
      <c r="B193" s="14" t="s">
        <v>905</v>
      </c>
      <c r="C193" s="16" t="s">
        <v>54</v>
      </c>
      <c r="D193" s="16" t="s">
        <v>54</v>
      </c>
      <c r="E193" s="18" t="s">
        <v>41</v>
      </c>
      <c r="F193" s="26"/>
    </row>
    <row r="194">
      <c r="A194" s="13">
        <v>8.0</v>
      </c>
      <c r="B194" s="14" t="s">
        <v>906</v>
      </c>
      <c r="C194" s="16" t="s">
        <v>54</v>
      </c>
      <c r="D194" s="16" t="s">
        <v>54</v>
      </c>
      <c r="E194" s="18" t="s">
        <v>41</v>
      </c>
      <c r="F194" s="26"/>
    </row>
    <row r="195">
      <c r="A195" s="13">
        <v>9.0</v>
      </c>
      <c r="B195" s="14" t="s">
        <v>907</v>
      </c>
      <c r="C195" s="16" t="s">
        <v>54</v>
      </c>
      <c r="D195" s="16" t="s">
        <v>54</v>
      </c>
      <c r="E195" s="18" t="s">
        <v>41</v>
      </c>
      <c r="F195" s="26"/>
    </row>
    <row r="196">
      <c r="A196" s="13">
        <v>10.0</v>
      </c>
      <c r="B196" s="14" t="s">
        <v>908</v>
      </c>
      <c r="C196" s="16" t="s">
        <v>54</v>
      </c>
      <c r="D196" s="16" t="s">
        <v>54</v>
      </c>
      <c r="E196" s="18" t="s">
        <v>41</v>
      </c>
      <c r="F196" s="26"/>
    </row>
    <row r="197">
      <c r="A197" s="13">
        <v>11.0</v>
      </c>
      <c r="B197" s="14" t="s">
        <v>909</v>
      </c>
      <c r="C197" s="16" t="s">
        <v>54</v>
      </c>
      <c r="D197" s="16" t="s">
        <v>54</v>
      </c>
      <c r="E197" s="18" t="s">
        <v>41</v>
      </c>
      <c r="F197" s="26"/>
    </row>
    <row r="198">
      <c r="A198" s="13">
        <v>12.0</v>
      </c>
      <c r="B198" s="14" t="s">
        <v>910</v>
      </c>
      <c r="C198" s="16" t="s">
        <v>54</v>
      </c>
      <c r="D198" s="16" t="s">
        <v>54</v>
      </c>
      <c r="E198" s="18" t="s">
        <v>41</v>
      </c>
      <c r="F198" s="26"/>
    </row>
    <row r="199">
      <c r="A199" s="13">
        <v>13.0</v>
      </c>
      <c r="B199" s="14" t="s">
        <v>911</v>
      </c>
      <c r="C199" s="16" t="s">
        <v>54</v>
      </c>
      <c r="D199" s="16" t="s">
        <v>54</v>
      </c>
      <c r="E199" s="18" t="s">
        <v>41</v>
      </c>
      <c r="F199" s="26"/>
    </row>
    <row r="200">
      <c r="A200" s="13">
        <v>14.0</v>
      </c>
      <c r="B200" s="14" t="s">
        <v>912</v>
      </c>
      <c r="C200" s="16">
        <v>300.0</v>
      </c>
      <c r="D200" s="16">
        <v>300.0</v>
      </c>
      <c r="E200" s="18" t="s">
        <v>48</v>
      </c>
      <c r="F200" s="26"/>
    </row>
    <row r="201">
      <c r="A201" s="13">
        <v>15.0</v>
      </c>
      <c r="B201" s="28" t="s">
        <v>248</v>
      </c>
      <c r="C201" s="16">
        <v>1500.0</v>
      </c>
      <c r="D201" s="16">
        <v>1500.0</v>
      </c>
      <c r="E201" s="18" t="s">
        <v>48</v>
      </c>
      <c r="F201" s="26"/>
    </row>
    <row r="202">
      <c r="A202" s="13">
        <v>16.0</v>
      </c>
      <c r="B202" s="28" t="s">
        <v>251</v>
      </c>
      <c r="C202" s="16">
        <v>500.0</v>
      </c>
      <c r="D202" s="16">
        <v>500.0</v>
      </c>
      <c r="E202" s="18" t="s">
        <v>48</v>
      </c>
      <c r="F202" s="26"/>
    </row>
    <row r="203">
      <c r="A203" s="13">
        <v>17.0</v>
      </c>
      <c r="B203" s="28" t="s">
        <v>255</v>
      </c>
      <c r="C203" s="16">
        <v>100.0</v>
      </c>
      <c r="D203" s="16">
        <v>100.0</v>
      </c>
      <c r="E203" s="18" t="s">
        <v>48</v>
      </c>
      <c r="F203" s="26"/>
    </row>
    <row r="204">
      <c r="A204" s="13">
        <v>18.0</v>
      </c>
      <c r="B204" s="28" t="s">
        <v>261</v>
      </c>
      <c r="C204" s="16">
        <v>500.0</v>
      </c>
      <c r="D204" s="16">
        <v>500.0</v>
      </c>
      <c r="E204" s="18" t="s">
        <v>48</v>
      </c>
      <c r="F204" s="26"/>
    </row>
    <row r="205">
      <c r="A205" s="25" t="s">
        <v>913</v>
      </c>
      <c r="B205" s="37" t="s">
        <v>914</v>
      </c>
      <c r="C205" s="39"/>
      <c r="D205" s="39"/>
      <c r="E205" s="39"/>
      <c r="F205" s="39"/>
    </row>
    <row r="206">
      <c r="A206" s="13">
        <v>1.0</v>
      </c>
      <c r="B206" s="14" t="s">
        <v>915</v>
      </c>
      <c r="C206" s="16" t="s">
        <v>54</v>
      </c>
      <c r="D206" s="16" t="s">
        <v>54</v>
      </c>
      <c r="E206" s="18" t="s">
        <v>48</v>
      </c>
      <c r="F206" s="26"/>
    </row>
    <row r="207">
      <c r="A207" s="13">
        <v>2.0</v>
      </c>
      <c r="B207" s="14" t="s">
        <v>916</v>
      </c>
      <c r="C207" s="16" t="s">
        <v>54</v>
      </c>
      <c r="D207" s="16" t="s">
        <v>54</v>
      </c>
      <c r="E207" s="18" t="s">
        <v>48</v>
      </c>
      <c r="F207" s="26"/>
    </row>
    <row r="208">
      <c r="A208" s="13">
        <v>3.0</v>
      </c>
      <c r="B208" s="14" t="s">
        <v>917</v>
      </c>
      <c r="C208" s="16" t="s">
        <v>54</v>
      </c>
      <c r="D208" s="16" t="s">
        <v>54</v>
      </c>
      <c r="E208" s="18" t="s">
        <v>48</v>
      </c>
      <c r="F208" s="26"/>
    </row>
    <row r="209">
      <c r="A209" s="13">
        <v>4.0</v>
      </c>
      <c r="B209" s="28" t="s">
        <v>285</v>
      </c>
      <c r="C209" s="16">
        <v>500.0</v>
      </c>
      <c r="D209" s="16">
        <v>500.0</v>
      </c>
      <c r="E209" s="18" t="s">
        <v>48</v>
      </c>
      <c r="F209" s="26"/>
    </row>
    <row r="210">
      <c r="A210" s="13">
        <v>5.0</v>
      </c>
      <c r="B210" s="28" t="s">
        <v>287</v>
      </c>
      <c r="C210" s="16">
        <v>550.0</v>
      </c>
      <c r="D210" s="16">
        <v>550.0</v>
      </c>
      <c r="E210" s="18" t="s">
        <v>48</v>
      </c>
      <c r="F210" s="26"/>
    </row>
    <row r="211">
      <c r="A211" s="13">
        <v>6.0</v>
      </c>
      <c r="B211" s="28" t="s">
        <v>291</v>
      </c>
      <c r="C211" s="16">
        <v>500.0</v>
      </c>
      <c r="D211" s="16">
        <v>500.0</v>
      </c>
      <c r="E211" s="18" t="s">
        <v>48</v>
      </c>
      <c r="F211" s="26"/>
    </row>
    <row r="212">
      <c r="A212" s="13">
        <v>7.0</v>
      </c>
      <c r="B212" s="28" t="s">
        <v>297</v>
      </c>
      <c r="C212" s="16">
        <v>500.0</v>
      </c>
      <c r="D212" s="16">
        <v>500.0</v>
      </c>
      <c r="E212" s="18" t="s">
        <v>48</v>
      </c>
      <c r="F212" s="26"/>
    </row>
    <row r="213">
      <c r="A213" s="13">
        <v>8.0</v>
      </c>
      <c r="B213" s="14" t="s">
        <v>918</v>
      </c>
      <c r="C213" s="16" t="s">
        <v>54</v>
      </c>
      <c r="D213" s="16" t="s">
        <v>54</v>
      </c>
      <c r="E213" s="18" t="s">
        <v>41</v>
      </c>
      <c r="F213" s="26"/>
    </row>
    <row r="214">
      <c r="A214" s="13">
        <v>9.0</v>
      </c>
      <c r="B214" s="14" t="s">
        <v>919</v>
      </c>
      <c r="C214" s="16" t="s">
        <v>54</v>
      </c>
      <c r="D214" s="16" t="s">
        <v>54</v>
      </c>
      <c r="E214" s="18" t="s">
        <v>41</v>
      </c>
      <c r="F214" s="26"/>
    </row>
    <row r="215">
      <c r="A215" s="25" t="s">
        <v>920</v>
      </c>
      <c r="B215" s="37" t="s">
        <v>921</v>
      </c>
      <c r="C215" s="60"/>
      <c r="D215" s="60"/>
      <c r="E215" s="39"/>
      <c r="F215" s="39"/>
    </row>
    <row r="216">
      <c r="A216" s="13">
        <v>1.0</v>
      </c>
      <c r="B216" s="62" t="s">
        <v>314</v>
      </c>
      <c r="C216" s="63">
        <v>2600.0</v>
      </c>
      <c r="D216" s="63">
        <v>2600.0</v>
      </c>
      <c r="E216" s="18" t="s">
        <v>41</v>
      </c>
      <c r="F216" s="26"/>
    </row>
    <row r="217">
      <c r="A217" s="13">
        <v>2.0</v>
      </c>
      <c r="B217" s="28" t="s">
        <v>281</v>
      </c>
      <c r="C217" s="79">
        <v>250.0</v>
      </c>
      <c r="D217" s="79" t="s">
        <v>54</v>
      </c>
      <c r="E217" s="18" t="s">
        <v>48</v>
      </c>
      <c r="F217" s="26"/>
    </row>
    <row r="218">
      <c r="A218" s="13">
        <v>3.0</v>
      </c>
      <c r="B218" s="14"/>
      <c r="C218" s="16"/>
      <c r="D218" s="16"/>
      <c r="E218" s="18" t="s">
        <v>48</v>
      </c>
      <c r="F218" s="26"/>
    </row>
    <row r="219">
      <c r="A219" s="25" t="s">
        <v>922</v>
      </c>
      <c r="B219" s="37" t="s">
        <v>923</v>
      </c>
      <c r="C219" s="39"/>
      <c r="D219" s="39"/>
      <c r="E219" s="39"/>
      <c r="F219" s="39"/>
    </row>
    <row r="220">
      <c r="A220" s="13">
        <v>1.0</v>
      </c>
      <c r="B220" s="14" t="s">
        <v>924</v>
      </c>
      <c r="C220" s="16" t="s">
        <v>304</v>
      </c>
      <c r="D220" s="16" t="s">
        <v>295</v>
      </c>
      <c r="E220" s="18" t="s">
        <v>48</v>
      </c>
      <c r="F220" s="26"/>
    </row>
    <row r="221">
      <c r="A221" s="13">
        <v>2.0</v>
      </c>
      <c r="B221" s="14" t="s">
        <v>925</v>
      </c>
      <c r="C221" s="16" t="s">
        <v>54</v>
      </c>
      <c r="D221" s="16" t="s">
        <v>54</v>
      </c>
      <c r="E221" s="18" t="s">
        <v>48</v>
      </c>
      <c r="F221" s="26"/>
    </row>
    <row r="222">
      <c r="A222" s="13">
        <v>3.0</v>
      </c>
      <c r="B222" s="14" t="s">
        <v>926</v>
      </c>
      <c r="C222" s="16" t="s">
        <v>54</v>
      </c>
      <c r="D222" s="16" t="s">
        <v>54</v>
      </c>
      <c r="E222" s="18" t="s">
        <v>48</v>
      </c>
      <c r="F222" s="26"/>
    </row>
    <row r="223">
      <c r="A223" s="13">
        <v>4.0</v>
      </c>
      <c r="B223" s="73" t="s">
        <v>927</v>
      </c>
      <c r="C223" s="80" t="s">
        <v>54</v>
      </c>
      <c r="D223" s="80" t="s">
        <v>54</v>
      </c>
      <c r="E223" s="18" t="s">
        <v>48</v>
      </c>
      <c r="F223" s="74"/>
    </row>
    <row r="224">
      <c r="A224" s="13">
        <v>5.0</v>
      </c>
      <c r="B224" s="14" t="s">
        <v>928</v>
      </c>
      <c r="C224" s="16" t="s">
        <v>54</v>
      </c>
      <c r="D224" s="16" t="s">
        <v>54</v>
      </c>
      <c r="E224" s="18" t="s">
        <v>48</v>
      </c>
      <c r="F224" s="26"/>
    </row>
    <row r="225">
      <c r="A225" s="13">
        <v>6.0</v>
      </c>
      <c r="B225" s="14" t="s">
        <v>929</v>
      </c>
      <c r="C225" s="16" t="s">
        <v>54</v>
      </c>
      <c r="D225" s="16" t="s">
        <v>54</v>
      </c>
      <c r="E225" s="18" t="s">
        <v>48</v>
      </c>
      <c r="F225" s="26"/>
    </row>
    <row r="226">
      <c r="A226" s="13">
        <v>7.0</v>
      </c>
      <c r="B226" s="14" t="s">
        <v>930</v>
      </c>
      <c r="C226" s="16">
        <v>50.0</v>
      </c>
      <c r="D226" s="16">
        <v>50.0</v>
      </c>
      <c r="E226" s="18" t="s">
        <v>48</v>
      </c>
      <c r="F226" s="26"/>
    </row>
    <row r="227">
      <c r="A227" s="61" t="s">
        <v>931</v>
      </c>
      <c r="B227" s="12"/>
      <c r="C227" s="58">
        <f t="shared" ref="C227:D227" si="12">SUM(C164:C226)</f>
        <v>33709</v>
      </c>
      <c r="D227" s="58">
        <f t="shared" si="12"/>
        <v>32549</v>
      </c>
      <c r="E227" s="64"/>
      <c r="F227" s="26"/>
    </row>
    <row r="229">
      <c r="C229" s="68">
        <f t="shared" ref="C229:D229" si="13">C227-20000</f>
        <v>13709</v>
      </c>
      <c r="D229" s="68">
        <f t="shared" si="13"/>
        <v>12549</v>
      </c>
    </row>
  </sheetData>
  <mergeCells count="35">
    <mergeCell ref="A1:F1"/>
    <mergeCell ref="A2:A3"/>
    <mergeCell ref="B2:B3"/>
    <mergeCell ref="E2:E3"/>
    <mergeCell ref="F2:F3"/>
    <mergeCell ref="A4:F4"/>
    <mergeCell ref="A24:B24"/>
    <mergeCell ref="A29:B29"/>
    <mergeCell ref="A36:B36"/>
    <mergeCell ref="A37:B37"/>
    <mergeCell ref="A39:F39"/>
    <mergeCell ref="A40:A41"/>
    <mergeCell ref="B40:B41"/>
    <mergeCell ref="E40:E41"/>
    <mergeCell ref="E98:E99"/>
    <mergeCell ref="F98:F99"/>
    <mergeCell ref="A100:F100"/>
    <mergeCell ref="F40:F41"/>
    <mergeCell ref="A42:F42"/>
    <mergeCell ref="A47:B47"/>
    <mergeCell ref="A55:B55"/>
    <mergeCell ref="A65:B65"/>
    <mergeCell ref="A94:B94"/>
    <mergeCell ref="A97:F97"/>
    <mergeCell ref="E164:E165"/>
    <mergeCell ref="F164:F165"/>
    <mergeCell ref="B164:B165"/>
    <mergeCell ref="A227:B227"/>
    <mergeCell ref="A95:B95"/>
    <mergeCell ref="A98:A99"/>
    <mergeCell ref="B98:B99"/>
    <mergeCell ref="A161:B161"/>
    <mergeCell ref="A163:F163"/>
    <mergeCell ref="A164:A165"/>
    <mergeCell ref="A166:F166"/>
  </mergeCells>
  <dataValidations>
    <dataValidation type="list" allowBlank="1" showErrorMessage="1" sqref="E5:E23 E26:E28 E31:E36 E43:E46 E49:E54 E57:E64 E67:E71 E73:E79 E81:E85 E87:E90 E92:E93 E102:E108 E110:E112 E114:E120 E122:E138 E140:E148 E150:E152 E154:E160 E168:E173 E175:E177 E179:E185 E187:E204 E206:E214 E216:E218 E220:E226">
      <formula1>"Completed,Not Yet"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2021-10-25T14:35:47Z</dcterms:created>
  <dc:creator>NABIHA</dc:creator>
</cp:coreProperties>
</file>